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 s="1"/>
  <c r="G4" i="1" s="1"/>
  <c r="F7" i="1"/>
  <c r="G7" i="1" s="1"/>
  <c r="E5" i="1"/>
  <c r="F5" i="1" s="1"/>
  <c r="G5" i="1" s="1"/>
  <c r="E6" i="1"/>
  <c r="F6" i="1" s="1"/>
  <c r="G6" i="1" s="1"/>
  <c r="E7" i="1"/>
  <c r="E8" i="1"/>
  <c r="F8" i="1" s="1"/>
  <c r="G8" i="1" s="1"/>
  <c r="E3" i="1"/>
  <c r="F3" i="1" s="1"/>
  <c r="G3" i="1" s="1"/>
  <c r="D5" i="1"/>
  <c r="D6" i="1"/>
  <c r="D7" i="1"/>
  <c r="D8" i="1"/>
  <c r="D3" i="1"/>
  <c r="E9" i="1" l="1"/>
  <c r="F9" i="1" s="1"/>
  <c r="G9" i="1" s="1"/>
</calcChain>
</file>

<file path=xl/sharedStrings.xml><?xml version="1.0" encoding="utf-8"?>
<sst xmlns="http://schemas.openxmlformats.org/spreadsheetml/2006/main" count="15" uniqueCount="14">
  <si>
    <t>Description</t>
  </si>
  <si>
    <t>Qty.</t>
  </si>
  <si>
    <t>Total Amount</t>
  </si>
  <si>
    <t>Transportation from Indus 
WH to site for Minor upgrade
site including unloading of 
material at site</t>
  </si>
  <si>
    <t xml:space="preserve">Project Management 
Charges for Upgradation of 
Only Class B/C Material 
without outage on Existing 
Sites </t>
  </si>
  <si>
    <t xml:space="preserve">Mount Installation Charges 
per mount (for 1st mount per
site, Only 1 quantity allowed)
- Capex </t>
  </si>
  <si>
    <t>Mount Installation Charges 
per mount (For &gt;=2 mount 
per site only, not applicable 
for 1st mount installation) - 
Capex</t>
  </si>
  <si>
    <t>MCB,32A,1 Pole,C Curve</t>
  </si>
  <si>
    <t>MCB,16A,1 Pole,C Curve</t>
  </si>
  <si>
    <t>TSP Rate</t>
  </si>
  <si>
    <t>15% Less Rate</t>
  </si>
  <si>
    <t>Basic Amount</t>
  </si>
  <si>
    <t>18% GST</t>
  </si>
  <si>
    <t>IN Id: 1256141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</si>
</sst>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tabSelected="1" workbookViewId="0">
      <selection activeCell="C3" sqref="C3"/>
    </sheetView>
  </sheetViews>
  <sheetFormatPr defaultColWidth="11.28515625" defaultRowHeight="15" x14ac:dyDescent="0.25"/>
  <cols>
    <col min="1" max="1" width="111.5703125" bestFit="1" customWidth="1"/>
  </cols>
  <sheetData>
    <row r="1" spans="1:7" x14ac:dyDescent="0.25">
      <c r="A1" s="1" t="s">
        <v>13</v>
      </c>
    </row>
    <row r="2" spans="1:7" x14ac:dyDescent="0.25">
      <c r="A2" s="2" t="s">
        <v>0</v>
      </c>
      <c r="B2" s="2" t="s">
        <v>9</v>
      </c>
      <c r="C2" t="s">
        <v>1</v>
      </c>
      <c r="D2" t="s">
        <v>10</v>
      </c>
      <c r="E2" t="s">
        <v>11</v>
      </c>
      <c r="F2" t="s">
        <v>12</v>
      </c>
      <c r="G2" t="s">
        <v>2</v>
      </c>
    </row>
    <row r="3" spans="1:7" x14ac:dyDescent="0.25">
      <c r="A3" s="2" t="s">
        <v>3</v>
      </c>
      <c r="B3" s="2">
        <v>1140</v>
      </c>
      <c r="C3">
        <v>1</v>
      </c>
      <c r="D3">
        <f>B3*0.85</f>
        <v>969</v>
      </c>
      <c r="E3">
        <f>D3*C3</f>
        <v>969</v>
      </c>
      <c r="F3">
        <f>E3*18/100</f>
        <v>174.42</v>
      </c>
      <c r="G3">
        <f>F3+E3</f>
        <v>1143.42</v>
      </c>
    </row>
    <row r="4" spans="1:7" x14ac:dyDescent="0.25">
      <c r="A4" s="2" t="s">
        <v>4</v>
      </c>
      <c r="B4" s="2">
        <v>1250</v>
      </c>
      <c r="C4">
        <v>0</v>
      </c>
      <c r="D4">
        <f>B4*0.8</f>
        <v>1000</v>
      </c>
      <c r="E4">
        <f t="shared" ref="E4:E8" si="0">D4*C4</f>
        <v>0</v>
      </c>
      <c r="F4">
        <f t="shared" ref="F4:F9" si="1">E4*18/100</f>
        <v>0</v>
      </c>
      <c r="G4">
        <f t="shared" ref="G4:G9" si="2">F4+E4</f>
        <v>0</v>
      </c>
    </row>
    <row r="5" spans="1:7" x14ac:dyDescent="0.25">
      <c r="A5" s="2" t="s">
        <v>5</v>
      </c>
      <c r="B5" s="2">
        <v>1500</v>
      </c>
      <c r="C5">
        <v>0</v>
      </c>
      <c r="D5">
        <f t="shared" ref="D4:D8" si="3">B5*0.85</f>
        <v>1275</v>
      </c>
      <c r="E5">
        <f t="shared" si="0"/>
        <v>0</v>
      </c>
      <c r="F5">
        <f t="shared" si="1"/>
        <v>0</v>
      </c>
      <c r="G5">
        <f t="shared" si="2"/>
        <v>0</v>
      </c>
    </row>
    <row r="6" spans="1:7" x14ac:dyDescent="0.25">
      <c r="A6" s="2" t="s">
        <v>6</v>
      </c>
      <c r="B6" s="2">
        <v>1000</v>
      </c>
      <c r="C6">
        <v>3</v>
      </c>
      <c r="D6">
        <f t="shared" si="3"/>
        <v>850</v>
      </c>
      <c r="E6">
        <f t="shared" si="0"/>
        <v>2550</v>
      </c>
      <c r="F6">
        <f t="shared" si="1"/>
        <v>459</v>
      </c>
      <c r="G6">
        <f t="shared" si="2"/>
        <v>3009</v>
      </c>
    </row>
    <row r="7" spans="1:7" x14ac:dyDescent="0.25">
      <c r="A7" s="2" t="s">
        <v>7</v>
      </c>
      <c r="B7" s="2">
        <v>80</v>
      </c>
      <c r="C7">
        <v>0</v>
      </c>
      <c r="D7">
        <f t="shared" si="3"/>
        <v>68</v>
      </c>
      <c r="E7">
        <f t="shared" si="0"/>
        <v>0</v>
      </c>
      <c r="F7">
        <f t="shared" si="1"/>
        <v>0</v>
      </c>
      <c r="G7">
        <f t="shared" si="2"/>
        <v>0</v>
      </c>
    </row>
    <row r="8" spans="1:7" x14ac:dyDescent="0.25">
      <c r="A8" s="2" t="s">
        <v>8</v>
      </c>
      <c r="B8" s="2">
        <v>80</v>
      </c>
      <c r="C8">
        <v>0</v>
      </c>
      <c r="D8">
        <f t="shared" si="3"/>
        <v>68</v>
      </c>
      <c r="E8">
        <f t="shared" si="0"/>
        <v>0</v>
      </c>
      <c r="F8">
        <f t="shared" si="1"/>
        <v>0</v>
      </c>
      <c r="G8">
        <f t="shared" si="2"/>
        <v>0</v>
      </c>
    </row>
    <row r="9" spans="1:7" x14ac:dyDescent="0.25">
      <c r="B9" s="3" t="s">
        <v>2</v>
      </c>
      <c r="C9" s="3"/>
      <c r="D9" s="3"/>
      <c r="E9">
        <f>SUM(E3:E8)</f>
        <v>3519</v>
      </c>
      <c r="F9">
        <f t="shared" si="1"/>
        <v>633.41999999999996</v>
      </c>
      <c r="G9">
        <f t="shared" si="2"/>
        <v>4152.42</v>
      </c>
    </row>
  </sheetData>
  <mergeCells count="1">
    <mergeCell ref="B9:D9"/>
  </mergeCells>
  <pageMargins left="0.7" right="0.7" top="0.75" bottom="0.75" header="0.3" footer="0.3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2022-12-08T10:07:48Z</dcterms:modified>
</cp:coreProperties>
</file>