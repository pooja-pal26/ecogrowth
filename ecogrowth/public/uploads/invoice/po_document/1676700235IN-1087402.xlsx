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ktiraj\Downloads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Sheet1!$A$1:$K$11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1" l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<sst xmlns="http://schemas.openxmlformats.org/spreadsheetml/2006/main" count="91" uniqueCount="40">
  <si>
    <t xml:space="preserve">Site </t>
  </si>
  <si>
    <t>Project No.</t>
  </si>
  <si>
    <t>Site Name</t>
  </si>
  <si>
    <t>Dis</t>
  </si>
  <si>
    <t>Project</t>
  </si>
  <si>
    <t>OPEX/Capex item code</t>
  </si>
  <si>
    <t>Item Description</t>
  </si>
  <si>
    <t>UOM</t>
  </si>
  <si>
    <t>QTY</t>
  </si>
  <si>
    <t>Rate</t>
  </si>
  <si>
    <t>Total</t>
  </si>
  <si>
    <t>IN-1087402</t>
  </si>
  <si>
    <t>SF-TVVA-0094006</t>
  </si>
  <si>
    <t>XBKdtranpurS</t>
  </si>
  <si>
    <t>Banaskantha</t>
  </si>
  <si>
    <t>TS_Work</t>
  </si>
  <si>
    <t>KG</t>
  </si>
  <si>
    <t>15-600000-0-01-ZZ-ZZ-103</t>
  </si>
  <si>
    <t>Zinc Spray Can for Cold Galvanising,Version 1.0</t>
  </si>
  <si>
    <t>14-900000-0-O2-ZZ-ZZ-114</t>
  </si>
  <si>
    <t>Supply of Hardware (5.6 grade),Version 2.0, Opex</t>
  </si>
  <si>
    <t>LS</t>
  </si>
  <si>
    <t>24-900000-O-00-ZZ-ZZ-513</t>
  </si>
  <si>
    <t>Welding of Lock Nuts - Opex</t>
  </si>
  <si>
    <t>25-150000-O-00-ZZ-ZZ-503</t>
  </si>
  <si>
    <t>Grouting of Base Plate - Opex</t>
  </si>
  <si>
    <t>74-900000-0-O1-ZZ-ZZ-923</t>
  </si>
  <si>
    <t>Transportation of material from TSP warehouse to Site, Version - 1.0, Opex</t>
  </si>
  <si>
    <t>14-A00000-O-01-ZZ-ZZ-061</t>
  </si>
  <si>
    <t>Supply of Galvanized Steel - Angle - C chennal steel - I Girder steel In Strengthening Activity, Version 1.0, - Opex</t>
  </si>
  <si>
    <t>14-A00000-O-01-ZZ-ZZ-062</t>
  </si>
  <si>
    <t>Supply of Galvanized Steel - Flat-Plate- Pipe In Strengthening Activity, Version 1.0, - Opex</t>
  </si>
  <si>
    <t>24-900000-O-01-ZZ-ZZ-063</t>
  </si>
  <si>
    <t>Service Charges for Replacement of Short Length and Rusted Nut &amp; Bolt, Version 1.0, - Opex</t>
  </si>
  <si>
    <t>Each</t>
  </si>
  <si>
    <t>24-900000-O-01-ZZ-ZZ-064</t>
  </si>
  <si>
    <t>Service Charges for Tower strengthening work having member weight &lt;250 KG, Version 1.0, - Opex</t>
  </si>
  <si>
    <t>25-100000-O-00-ZZ-ZZ-726</t>
  </si>
  <si>
    <t>Reinforced Cement Concrete - M 20 grade (1:1.5:3) excluding reinforcement steel,(As per Indus Standards and Guidelines) - Opex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</si>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</sst>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workbookViewId="0">
      <selection activeCell="K15" sqref="K15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3" t="s">
        <v>12</v>
      </c>
      <c r="C2" s="3" t="s">
        <v>13</v>
      </c>
      <c r="D2" s="3" t="s">
        <v>14</v>
      </c>
      <c r="E2" s="4" t="s">
        <v>15</v>
      </c>
      <c r="F2" s="4" t="s">
        <v>17</v>
      </c>
      <c r="G2" s="4" t="s">
        <v>18</v>
      </c>
      <c r="H2" s="4" t="s">
        <v>16</v>
      </c>
      <c r="I2" s="5">
        <v>1</v>
      </c>
      <c r="J2" s="4">
        <v>307</v>
      </c>
      <c r="K2" s="4">
        <f>I2*J2</f>
        <v>307</v>
      </c>
    </row>
    <row r="3" spans="1:11" x14ac:dyDescent="0.25">
      <c r="A3" s="2" t="s">
        <v>11</v>
      </c>
      <c r="B3" s="3" t="s">
        <v>12</v>
      </c>
      <c r="C3" s="3" t="s">
        <v>13</v>
      </c>
      <c r="D3" s="3" t="s">
        <v>14</v>
      </c>
      <c r="E3" s="4" t="s">
        <v>15</v>
      </c>
      <c r="F3" s="4" t="s">
        <v>19</v>
      </c>
      <c r="G3" s="4" t="s">
        <v>20</v>
      </c>
      <c r="H3" s="4" t="s">
        <v>21</v>
      </c>
      <c r="I3" s="5">
        <v>73</v>
      </c>
      <c r="J3" s="4">
        <v>110</v>
      </c>
      <c r="K3" s="4">
        <f t="shared" ref="K3:K11" si="0">I3*J3</f>
        <v>8030</v>
      </c>
    </row>
    <row r="4" spans="1:11" x14ac:dyDescent="0.25">
      <c r="A4" s="2" t="s">
        <v>11</v>
      </c>
      <c r="B4" s="3" t="s">
        <v>12</v>
      </c>
      <c r="C4" s="3" t="s">
        <v>13</v>
      </c>
      <c r="D4" s="3" t="s">
        <v>14</v>
      </c>
      <c r="E4" s="4" t="s">
        <v>15</v>
      </c>
      <c r="F4" s="4" t="s">
        <v>22</v>
      </c>
      <c r="G4" s="4" t="s">
        <v>23</v>
      </c>
      <c r="H4" s="4" t="s">
        <v>21</v>
      </c>
      <c r="I4" s="5">
        <v>1</v>
      </c>
      <c r="J4" s="4">
        <v>2500</v>
      </c>
      <c r="K4" s="4">
        <f t="shared" si="0"/>
        <v>2500</v>
      </c>
    </row>
    <row r="5" spans="1:11" x14ac:dyDescent="0.25">
      <c r="A5" s="2" t="s">
        <v>11</v>
      </c>
      <c r="B5" s="3" t="s">
        <v>12</v>
      </c>
      <c r="C5" s="3" t="s">
        <v>13</v>
      </c>
      <c r="D5" s="3" t="s">
        <v>14</v>
      </c>
      <c r="E5" s="4" t="s">
        <v>15</v>
      </c>
      <c r="F5" s="4" t="s">
        <v>24</v>
      </c>
      <c r="G5" s="4" t="s">
        <v>25</v>
      </c>
      <c r="H5" s="4" t="s">
        <v>21</v>
      </c>
      <c r="I5" s="5">
        <v>4</v>
      </c>
      <c r="J5" s="4">
        <v>795</v>
      </c>
      <c r="K5" s="4">
        <f t="shared" si="0"/>
        <v>3180</v>
      </c>
    </row>
    <row r="6" spans="1:11" x14ac:dyDescent="0.25">
      <c r="A6" s="2" t="s">
        <v>11</v>
      </c>
      <c r="B6" s="3" t="s">
        <v>12</v>
      </c>
      <c r="C6" s="3" t="s">
        <v>13</v>
      </c>
      <c r="D6" s="3" t="s">
        <v>14</v>
      </c>
      <c r="E6" s="4" t="s">
        <v>15</v>
      </c>
      <c r="F6" s="4" t="s">
        <v>26</v>
      </c>
      <c r="G6" s="4" t="s">
        <v>27</v>
      </c>
      <c r="H6" s="4" t="s">
        <v>21</v>
      </c>
      <c r="I6" s="5">
        <v>1.2190000000000001</v>
      </c>
      <c r="J6" s="4">
        <v>2000</v>
      </c>
      <c r="K6" s="4">
        <f t="shared" si="0"/>
        <v>2438</v>
      </c>
    </row>
    <row r="7" spans="1:11" x14ac:dyDescent="0.25">
      <c r="A7" s="2" t="s">
        <v>11</v>
      </c>
      <c r="B7" s="3" t="s">
        <v>12</v>
      </c>
      <c r="C7" s="3" t="s">
        <v>13</v>
      </c>
      <c r="D7" s="3" t="s">
        <v>14</v>
      </c>
      <c r="E7" s="4" t="s">
        <v>15</v>
      </c>
      <c r="F7" s="4" t="s">
        <v>28</v>
      </c>
      <c r="G7" s="4" t="s">
        <v>29</v>
      </c>
      <c r="H7" s="4" t="s">
        <v>16</v>
      </c>
      <c r="I7" s="5">
        <v>183</v>
      </c>
      <c r="J7" s="4">
        <v>110</v>
      </c>
      <c r="K7" s="4">
        <f t="shared" si="0"/>
        <v>20130</v>
      </c>
    </row>
    <row r="8" spans="1:11" x14ac:dyDescent="0.25">
      <c r="A8" s="2" t="s">
        <v>11</v>
      </c>
      <c r="B8" s="3" t="s">
        <v>12</v>
      </c>
      <c r="C8" s="3" t="s">
        <v>13</v>
      </c>
      <c r="D8" s="3" t="s">
        <v>14</v>
      </c>
      <c r="E8" s="4" t="s">
        <v>15</v>
      </c>
      <c r="F8" s="4" t="s">
        <v>30</v>
      </c>
      <c r="G8" s="4" t="s">
        <v>31</v>
      </c>
      <c r="H8" s="4" t="s">
        <v>21</v>
      </c>
      <c r="I8" s="5">
        <v>22</v>
      </c>
      <c r="J8" s="4">
        <v>124</v>
      </c>
      <c r="K8" s="4">
        <f t="shared" si="0"/>
        <v>2728</v>
      </c>
    </row>
    <row r="9" spans="1:11" x14ac:dyDescent="0.25">
      <c r="A9" s="2" t="s">
        <v>11</v>
      </c>
      <c r="B9" s="3" t="s">
        <v>12</v>
      </c>
      <c r="C9" s="3" t="s">
        <v>13</v>
      </c>
      <c r="D9" s="3" t="s">
        <v>14</v>
      </c>
      <c r="E9" s="4" t="s">
        <v>15</v>
      </c>
      <c r="F9" s="4" t="s">
        <v>32</v>
      </c>
      <c r="G9" s="4" t="s">
        <v>33</v>
      </c>
      <c r="H9" s="4" t="s">
        <v>16</v>
      </c>
      <c r="I9" s="5">
        <v>73</v>
      </c>
      <c r="J9" s="4">
        <v>145</v>
      </c>
      <c r="K9" s="4">
        <f t="shared" si="0"/>
        <v>10585</v>
      </c>
    </row>
    <row r="10" spans="1:11" x14ac:dyDescent="0.25">
      <c r="A10" s="2" t="s">
        <v>11</v>
      </c>
      <c r="B10" s="3" t="s">
        <v>12</v>
      </c>
      <c r="C10" s="3" t="s">
        <v>13</v>
      </c>
      <c r="D10" s="3" t="s">
        <v>14</v>
      </c>
      <c r="E10" s="4" t="s">
        <v>15</v>
      </c>
      <c r="F10" s="4" t="s">
        <v>35</v>
      </c>
      <c r="G10" s="4" t="s">
        <v>36</v>
      </c>
      <c r="H10" s="4" t="s">
        <v>34</v>
      </c>
      <c r="I10" s="5">
        <v>1</v>
      </c>
      <c r="J10" s="4">
        <v>15000</v>
      </c>
      <c r="K10" s="4">
        <f t="shared" si="0"/>
        <v>15000</v>
      </c>
    </row>
    <row r="11" spans="1:11" x14ac:dyDescent="0.25">
      <c r="A11" s="2" t="s">
        <v>11</v>
      </c>
      <c r="B11" s="3" t="s">
        <v>12</v>
      </c>
      <c r="C11" s="3" t="s">
        <v>13</v>
      </c>
      <c r="D11" s="3" t="s">
        <v>14</v>
      </c>
      <c r="E11" s="4" t="s">
        <v>15</v>
      </c>
      <c r="F11" s="5" t="s">
        <v>37</v>
      </c>
      <c r="G11" s="5" t="s">
        <v>38</v>
      </c>
      <c r="H11" s="5" t="s">
        <v>39</v>
      </c>
      <c r="I11" s="5">
        <v>1</v>
      </c>
      <c r="J11" s="5">
        <v>6645</v>
      </c>
      <c r="K11" s="4">
        <f t="shared" si="0"/>
        <v>6645</v>
      </c>
    </row>
    <row r="14" spans="1:11" x14ac:dyDescent="0.25">
      <c r="K14">
        <f>SUM(K2:K11)</f>
        <v>71543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Shaktiraj</dc:creator>
  <cp:lastModifiedBy>Shaktiraj</cp:lastModifiedBy>
  <dcterms:created xsi:type="dcterms:W3CDTF">2023-02-18T06:01:31Z</dcterms:created>
  <dcterms:modified xsi:type="dcterms:W3CDTF">2023-02-18T06:02:13Z</dcterms:modified>
</cp:coreProperties>
</file>