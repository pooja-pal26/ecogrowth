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HAVAL\Desktop\Adarsh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Sheet1!$A$1:$Q$41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9" i="1" l="1"/>
  <c r="Q39" i="1"/>
  <c r="P35" i="1"/>
  <c r="Q35" i="1"/>
  <c r="P34" i="1"/>
  <c r="Q34" i="1"/>
  <c r="P33" i="1"/>
  <c r="Q33" i="1"/>
  <c r="P32" i="1"/>
  <c r="Q32" i="1"/>
  <c r="P31" i="1"/>
  <c r="Q31" i="1"/>
  <c r="P30" i="1"/>
  <c r="Q30" i="1"/>
  <c r="P29" i="1"/>
  <c r="Q29" i="1"/>
  <c r="P28" i="1"/>
  <c r="Q28" i="1"/>
  <c r="P24" i="1"/>
  <c r="Q24" i="1"/>
  <c r="P41" i="1"/>
  <c r="Q41" i="1"/>
  <c r="P40" i="1"/>
  <c r="Q40" i="1"/>
  <c r="P38" i="1"/>
  <c r="Q38" i="1"/>
  <c r="P37" i="1"/>
  <c r="Q37" i="1"/>
  <c r="P36" i="1"/>
  <c r="Q36" i="1"/>
  <c r="P27" i="1"/>
  <c r="Q27" i="1"/>
  <c r="Q26" i="1"/>
  <c r="P25" i="1"/>
  <c r="Q25" i="1"/>
  <c r="P23" i="1"/>
  <c r="Q23" i="1"/>
  <c r="P22" i="1"/>
  <c r="Q22" i="1"/>
  <c r="P21" i="1"/>
  <c r="Q21" i="1"/>
  <c r="Q20" i="1"/>
  <c r="P19" i="1"/>
  <c r="Q19" i="1"/>
  <c r="P18" i="1"/>
  <c r="Q18" i="1"/>
  <c r="Q17" i="1"/>
  <c r="P16" i="1"/>
  <c r="Q16" i="1"/>
  <c r="P15" i="1"/>
  <c r="Q15" i="1"/>
  <c r="P14" i="1"/>
  <c r="Q14" i="1"/>
  <c r="P13" i="1"/>
  <c r="Q13" i="1"/>
  <c r="P12" i="1"/>
  <c r="Q12" i="1"/>
  <c r="P11" i="1"/>
  <c r="Q11" i="1"/>
  <c r="Q10" i="1"/>
  <c r="P9" i="1"/>
  <c r="Q9" i="1"/>
  <c r="Q8" i="1"/>
  <c r="Q7" i="1"/>
  <c r="Q6" i="1"/>
  <c r="P5" i="1"/>
  <c r="Q5" i="1"/>
  <c r="P4" i="1"/>
  <c r="Q4" i="1"/>
  <c r="P3" i="1"/>
  <c r="Q3" i="1"/>
  <c r="P2" i="1"/>
  <c r="Q2" i="1"/>
</calcChain>
</file>

<file path=xl/sharedStrings.xml><?xml version="1.0" encoding="utf-8"?>
<sst xmlns="http://schemas.openxmlformats.org/spreadsheetml/2006/main" count="217" uniqueCount="111">
  <si>
    <t>Line</t>
  </si>
  <si>
    <t>Type</t>
  </si>
  <si>
    <t>Item/Job</t>
  </si>
  <si>
    <t>Description</t>
  </si>
  <si>
    <t>UOM</t>
  </si>
  <si>
    <t>Qty</t>
  </si>
  <si>
    <t>Price</t>
  </si>
  <si>
    <t>Amount</t>
  </si>
  <si>
    <t>Task Name</t>
  </si>
  <si>
    <t>Goods</t>
  </si>
  <si>
    <t>25-100000-0-00-ZZ-ZZ-AM9</t>
  </si>
  <si>
    <t>Excavation in all types of soils by Mechanized Methods,(As per Indus Standards and Guidelines)</t>
  </si>
  <si>
    <t>CUBIC METER</t>
  </si>
  <si>
    <t>Civil Work</t>
  </si>
  <si>
    <t>Po</t>
  </si>
  <si>
    <t>22-300000-C-00-ZZ-ZZ-A17</t>
  </si>
  <si>
    <t>Installation charges of Meter Box - Capex</t>
  </si>
  <si>
    <t>Each</t>
  </si>
  <si>
    <t>EB Cost</t>
  </si>
  <si>
    <t>12-900000-0-01-ZZ-ZZ-024</t>
  </si>
  <si>
    <t>Mounting Frame for EB Meter Box,Version 1.0</t>
  </si>
  <si>
    <t>Electrical Work</t>
  </si>
  <si>
    <t>2B-300000-0-00-ZZ-ZZ-473</t>
  </si>
  <si>
    <t>Supply of EB Material for Line Erection - Installation</t>
  </si>
  <si>
    <t>Other Services &amp;Lots</t>
  </si>
  <si>
    <t>2E-500000-0-00-ZZ-ZZ-888</t>
  </si>
  <si>
    <t>Site security during site construction of Eco site</t>
  </si>
  <si>
    <t>12-900000-0-01-ZZ-ZZ-020</t>
  </si>
  <si>
    <t>5/15 Amps Switch &amp; Socket Assembly - OD Type,Version 1.0</t>
  </si>
  <si>
    <t>25-100000-0-00-ZZ-ZZ-AN6</t>
  </si>
  <si>
    <t>Backfilling in layers using excavated earth by Manual Methods,(As per Indus Standards and Guidelines)</t>
  </si>
  <si>
    <t>25-150000-0-00-ZZ-ZZ-611</t>
  </si>
  <si>
    <t>Concrete Grouting below Tower base Plate.</t>
  </si>
  <si>
    <t>12-422000-0-01-ZZ-ZZ-000</t>
  </si>
  <si>
    <t>Earthing, EGB GI Busbar, 300x150x6 with all installation accessories, Version 1.0</t>
  </si>
  <si>
    <t>Meter</t>
  </si>
  <si>
    <t>22-435000-0-00-ZZ-ZZ-654</t>
  </si>
  <si>
    <t>Earthing,GI strip (25x3) mm with all installation accessories,(As per Indus Standards and Guidelines)</t>
  </si>
  <si>
    <t>22-434000-0-00-ZZ-ZZ-653</t>
  </si>
  <si>
    <t>Earthing,GI strip (25x6) mm with all installation accessories,(As per Indus Standards and Guidelines)</t>
  </si>
  <si>
    <t>24-600000-0-00-ZZ-ZZ-102</t>
  </si>
  <si>
    <t>Fixing &amp; Levelling of Foundation Bolt &amp; Tower Template</t>
  </si>
  <si>
    <t>12-C00000-0-01-ZZ-ZZ-014</t>
  </si>
  <si>
    <t>GI Wire Reinforced HDPE Conduit Pipe 25 mm,Version 1.0</t>
  </si>
  <si>
    <t>22-440000-0-00-ZZ-ZZ-169</t>
  </si>
  <si>
    <t>Installation &amp; Commissioning,Maintenance Free Chemical Earthing</t>
  </si>
  <si>
    <t>22-600000-0-00-ZZ-ZZ-848</t>
  </si>
  <si>
    <t>Installation and Commisioning of SPD Box including end termination of cables (As per Indus Standards and Guidelines)</t>
  </si>
  <si>
    <t>Tower</t>
  </si>
  <si>
    <t>21-600000-0-00-ZZ-ZZ-706</t>
  </si>
  <si>
    <t>Installation, Commissioning &amp; Testing of SMPS,(As per Indus Standards and Guidelines)</t>
  </si>
  <si>
    <t>SMPS</t>
  </si>
  <si>
    <t>Tx Rack</t>
  </si>
  <si>
    <t>21-D00000-0-00-ZZ-ZZ-705</t>
  </si>
  <si>
    <t>Installation, Grouting, Earthing &amp; Commissioning &amp; OD TX Rack,(As per Indus Standards and Guidelines)</t>
  </si>
  <si>
    <t>21-390000-0-00-ZZ-ZZ-712</t>
  </si>
  <si>
    <t>Installation, Grouting, Earthing Commisioning testing of Power Panel -SP including end termination of power cables using glands and lugs including coordination with Panel OEM,(As per Indus Standards and Guidelines)</t>
  </si>
  <si>
    <t>24-500000-0-00-ZZ-ZZ-704</t>
  </si>
  <si>
    <t>Installation, Grouting, Earthing and Commissioning of OD BB Cabinet,(As per Indus Standards and Guidelines)</t>
  </si>
  <si>
    <t>Battery</t>
  </si>
  <si>
    <t>25-100000-0-00-ZZ-ZZ-722</t>
  </si>
  <si>
    <t>Plain Cement Concrete - M10 grade (1:3:6),(As per Indus Standards and Guidelines)</t>
  </si>
  <si>
    <t>12-C00000-0-00-ZZ-ZZ-752</t>
  </si>
  <si>
    <t>Poly Vinyl Chloride (CPVC) pipe of 75mm dia,(As per Indus Standards and Guidelines)</t>
  </si>
  <si>
    <t>2D-100000-0-02-ZZ-ZZ-832</t>
  </si>
  <si>
    <t>Reinforced Cement Concrete - M 20 grade (1:1.5:3) for Ground Based Sites, Version 1.1, excluding reinforcement steel (As per Indus Standards and Guidelines)</t>
  </si>
  <si>
    <t>15-100000-0-00-ZZ-ZZ-847</t>
  </si>
  <si>
    <t>Reinforcement Steel - Tor steel HYSD Fe- 500 grade,(As per Indus Standards and Guidelines), ISI marked and approved make ( circle specific make ) including cutting, bending &amp; laying ,Including binding wires etc complete</t>
  </si>
  <si>
    <t>Kilogram</t>
  </si>
  <si>
    <t>2D-300000-C-00-ZZ-ZZ-B37</t>
  </si>
  <si>
    <t>Shuttering for Eco/Eco lite Sites - MS Sheet / Plywood (As per Indus Standards and Guidelines),Capex</t>
  </si>
  <si>
    <t>Sq. Meter</t>
  </si>
  <si>
    <t>2D-600000-0-00-ZZ-ZZ-650</t>
  </si>
  <si>
    <t>Water Charges (Tankar Capacity-2000 ltrs)</t>
  </si>
  <si>
    <t>C1</t>
  </si>
  <si>
    <t>C2</t>
  </si>
  <si>
    <t>C3</t>
  </si>
  <si>
    <t>T1</t>
  </si>
  <si>
    <t>E1</t>
  </si>
  <si>
    <t>QTY Total</t>
  </si>
  <si>
    <t>28-600000-C-00-ZZ-ZZ-001</t>
  </si>
  <si>
    <t>Installation,Signage Board - Capex</t>
  </si>
  <si>
    <t>12-154067-0-00-ZZ-ZZ-000</t>
  </si>
  <si>
    <t>ELCB,63A,4 Pole,30 mA</t>
  </si>
  <si>
    <t>22-210AP0-0-03-ZZ-ZZ-000</t>
  </si>
  <si>
    <t>Supply &amp; Laying of Cable,16 Sq MM,4 Core,Aluminum Armoured, HRFR, Version 3.0 incldg Termination with Lugs, Saddles, Cable ties, Insulation tape, Glands &amp; other installation accessories as per Indus Standard Guidelines</t>
  </si>
  <si>
    <t>22-210830-0-03-ZZ-ZZ-000</t>
  </si>
  <si>
    <t>Supply &amp; Laying of Cable,16 Sq MM,2 Core,Copper Armoured Multi strand HRFR, Version 3.0 incldg Termination with Lugs, Saddles, Cable ties, Insulation tape, Glands &amp; other installation accessories as per Indus Standard Guidelines</t>
  </si>
  <si>
    <t>22-207A30-0-03-ZZ-ZZ-000</t>
  </si>
  <si>
    <t>Supply &amp; Laying of Cable,6 Sq MM,4 Core,Copper Armoured Multi strand HRFR, Version 3.0 incldg Termination with Lugs, Saddles, Cable ties, Insulation tape, Glands &amp; other installation accessories as per Indus Standard Guidelines</t>
  </si>
  <si>
    <t>22-2128P0-0-03-ZZ-ZZ-000</t>
  </si>
  <si>
    <t>Supply &amp; Laying of Cable,35 Sq MM,2 Core,Aluminum Armoured, HRFR, Version 3.0 incldg Termination with Lugs, Saddles, Cable ties, Insulation tape, Glands &amp; other installation accessories as per Indus Standard Guidelines</t>
  </si>
  <si>
    <t>22-212760-0-03-ZZ-ZZ-000</t>
  </si>
  <si>
    <t>Supply &amp; Laying of Cable,35 Sq MM,1 Core Red,Copper Unarmoured Multi strand HRFR, Version 3.0 incldg Termination with Lugs, Saddles, Cable ties, Insulation tape, Glands &amp; other installation accessories as per Indus Standard Guidelines</t>
  </si>
  <si>
    <t>22-212660-0-03-ZZ-ZZ-000</t>
  </si>
  <si>
    <t>Supply &amp; Laying of Cable,35 Sq MM,1 Core Black,Copper Unarmoured Multi strand HRFR, Version 3.0 incldg Termination with Lugs, Saddles, Cable ties, Insulation tape, Glands &amp; other installation accessories as per Indus Standard Guidelines</t>
  </si>
  <si>
    <t>22-205930-0-03-ZZ-ZZ-000</t>
  </si>
  <si>
    <t>Supply &amp; Laying of Cable,2.5 Sq MM,3 Core,Copper Armoured Multi strand HRFR, Version 3.0 incldg Termination with Lugs, Saddles, Cable ties, Insulation tape, Glands &amp; other installation accessories as per Indus Standard Guidelines</t>
  </si>
  <si>
    <t>22-210560-0-03-ZZ-ZZ-000</t>
  </si>
  <si>
    <t>Supply &amp; Laying of Cable,16 Sq MM,1 Core Green,Copper Unarmoured Multi strand HRFR, Version 3.0 incldg Termination with Lugs, Saddles, Cable ties, Insulation tape, Glands &amp; other installation accessories as per Indus Standard Guidelines</t>
  </si>
  <si>
    <t>22-201340-0-03-ZZ-ZZ-000</t>
  </si>
  <si>
    <t>Supply &amp; Laying of Cable,0.5 MM Dia,10 Pair,Annealed Tinned Copper single strand armoured(FRLS), Version 3.0 incldg Termination with Lugs, Saddles, Cable ties, Insulation tape, Glands &amp; other installation accessories</t>
  </si>
  <si>
    <t>24-600000-0-00-ZZ-ZZ-604</t>
  </si>
  <si>
    <t>Door &amp; Window Fitting Charges - Lock 7-liver (link,plaza,harison make)</t>
  </si>
  <si>
    <t>12-900000-0-01-ZZ-ZZ-026</t>
  </si>
  <si>
    <t>Krone BOX, 10 PAIR, Indoor,Version 1.0</t>
  </si>
  <si>
    <t>14-200800-0-01-ZZ-ZZ-000</t>
  </si>
  <si>
    <t>MS Ladder and Platform,Version 1.0</t>
  </si>
  <si>
    <t>12-C00000-C-00-ZZ-ZZ-155</t>
  </si>
  <si>
    <t>HDPE pipe 2 inch - Capex</t>
  </si>
  <si>
    <t>Not available In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</si>
</sst>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1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Border="1"/>
    <xf numFmtId="0" fontId="0" fillId="0" borderId="2" xfId="0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topLeftCell="F1" workbookViewId="0">
      <pane ySplit="1" topLeftCell="A2" activePane="bottomLeft" state="frozen"/>
      <selection pane="bottomLeft" activeCell="W6" sqref="W6"/>
    </sheetView>
  </sheetViews>
  <sheetFormatPr defaultRowHeight="15" x14ac:dyDescent="0.25"/>
  <cols>
    <col min="1" max="1" width="12" bestFit="1" customWidth="1"/>
    <col min="2" max="2" width="4.7109375" bestFit="1" customWidth="1"/>
    <col min="3" max="3" width="6.5703125" bestFit="1" customWidth="1"/>
    <col min="4" max="4" width="24.7109375" bestFit="1" customWidth="1"/>
    <col min="5" max="5" width="40.42578125" customWidth="1"/>
    <col min="6" max="6" width="12.5703125" bestFit="1" customWidth="1"/>
    <col min="7" max="7" width="4.140625" bestFit="1" customWidth="1"/>
    <col min="8" max="8" width="6" bestFit="1" customWidth="1"/>
    <col min="9" max="9" width="8.140625" bestFit="1" customWidth="1"/>
    <col min="10" max="10" width="19.5703125" bestFit="1" customWidth="1"/>
  </cols>
  <sheetData>
    <row r="1" spans="1:17" ht="22.5" customHeight="1" x14ac:dyDescent="0.25">
      <c r="A1" s="3" t="s">
        <v>14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74</v>
      </c>
      <c r="L1" s="4" t="s">
        <v>75</v>
      </c>
      <c r="M1" s="4" t="s">
        <v>76</v>
      </c>
      <c r="N1" s="4" t="s">
        <v>77</v>
      </c>
      <c r="O1" s="4" t="s">
        <v>78</v>
      </c>
      <c r="P1" s="4" t="s">
        <v>79</v>
      </c>
      <c r="Q1" s="4" t="s">
        <v>7</v>
      </c>
    </row>
    <row r="2" spans="1:17" x14ac:dyDescent="0.25">
      <c r="A2" s="1">
        <v>14030263747</v>
      </c>
      <c r="B2" s="2">
        <v>1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75</v>
      </c>
      <c r="H2" s="6">
        <v>130</v>
      </c>
      <c r="I2" s="2">
        <v>9750</v>
      </c>
      <c r="J2" s="2" t="s">
        <v>13</v>
      </c>
      <c r="K2" s="7">
        <v>97.81</v>
      </c>
      <c r="L2" s="7"/>
      <c r="M2" s="7"/>
      <c r="N2" s="7"/>
      <c r="O2" s="2"/>
      <c r="P2" s="2">
        <f>SUM(K2:O2)</f>
        <v>97.81</v>
      </c>
      <c r="Q2" s="2">
        <f>P2*H2</f>
        <v>12715.300000000001</v>
      </c>
    </row>
    <row r="3" spans="1:17" x14ac:dyDescent="0.25">
      <c r="A3" s="1">
        <v>14030263950</v>
      </c>
      <c r="B3" s="2">
        <v>1</v>
      </c>
      <c r="C3" s="2" t="s">
        <v>9</v>
      </c>
      <c r="D3" s="2" t="s">
        <v>15</v>
      </c>
      <c r="E3" s="2" t="s">
        <v>16</v>
      </c>
      <c r="F3" s="2" t="s">
        <v>17</v>
      </c>
      <c r="G3" s="2">
        <v>1</v>
      </c>
      <c r="H3" s="6">
        <v>4770</v>
      </c>
      <c r="I3" s="2">
        <v>4770</v>
      </c>
      <c r="J3" s="2" t="s">
        <v>18</v>
      </c>
      <c r="K3" s="7"/>
      <c r="L3" s="7"/>
      <c r="M3" s="7"/>
      <c r="N3" s="7"/>
      <c r="O3" s="7">
        <v>1</v>
      </c>
      <c r="P3" s="2">
        <f t="shared" ref="P3:P41" si="0">SUM(K3:O3)</f>
        <v>1</v>
      </c>
      <c r="Q3" s="2">
        <f t="shared" ref="Q3:Q41" si="1">P3*H3</f>
        <v>4770</v>
      </c>
    </row>
    <row r="4" spans="1:17" x14ac:dyDescent="0.25">
      <c r="A4" s="1">
        <v>14030263950</v>
      </c>
      <c r="B4" s="2">
        <v>3</v>
      </c>
      <c r="C4" s="2" t="s">
        <v>9</v>
      </c>
      <c r="D4" s="2" t="s">
        <v>19</v>
      </c>
      <c r="E4" s="2" t="s">
        <v>20</v>
      </c>
      <c r="F4" s="2" t="s">
        <v>17</v>
      </c>
      <c r="G4" s="2">
        <v>2</v>
      </c>
      <c r="H4" s="6">
        <v>530</v>
      </c>
      <c r="I4" s="2">
        <v>1060</v>
      </c>
      <c r="J4" s="2" t="s">
        <v>21</v>
      </c>
      <c r="K4" s="7"/>
      <c r="L4" s="7"/>
      <c r="M4" s="7"/>
      <c r="N4" s="7"/>
      <c r="O4" s="7">
        <v>1</v>
      </c>
      <c r="P4" s="2">
        <f t="shared" si="0"/>
        <v>1</v>
      </c>
      <c r="Q4" s="2">
        <f t="shared" si="1"/>
        <v>530</v>
      </c>
    </row>
    <row r="5" spans="1:17" x14ac:dyDescent="0.25">
      <c r="A5" s="1">
        <v>14030263950</v>
      </c>
      <c r="B5" s="2">
        <v>2</v>
      </c>
      <c r="C5" s="2" t="s">
        <v>9</v>
      </c>
      <c r="D5" s="2" t="s">
        <v>22</v>
      </c>
      <c r="E5" s="2" t="s">
        <v>23</v>
      </c>
      <c r="F5" s="2" t="s">
        <v>17</v>
      </c>
      <c r="G5" s="2">
        <v>1</v>
      </c>
      <c r="H5" s="6">
        <v>6250</v>
      </c>
      <c r="I5" s="2">
        <v>6250</v>
      </c>
      <c r="J5" s="2" t="s">
        <v>18</v>
      </c>
      <c r="K5" s="7"/>
      <c r="L5" s="7"/>
      <c r="M5" s="7"/>
      <c r="N5" s="7"/>
      <c r="O5" s="7">
        <v>1</v>
      </c>
      <c r="P5" s="2">
        <f t="shared" si="0"/>
        <v>1</v>
      </c>
      <c r="Q5" s="2">
        <f t="shared" si="1"/>
        <v>6250</v>
      </c>
    </row>
    <row r="6" spans="1:17" x14ac:dyDescent="0.25">
      <c r="A6" s="1">
        <v>14030267048</v>
      </c>
      <c r="B6" s="2">
        <v>33</v>
      </c>
      <c r="C6" s="2" t="s">
        <v>9</v>
      </c>
      <c r="D6" s="5" t="s">
        <v>25</v>
      </c>
      <c r="E6" s="2" t="s">
        <v>26</v>
      </c>
      <c r="F6" s="2" t="s">
        <v>17</v>
      </c>
      <c r="G6" s="2">
        <v>1</v>
      </c>
      <c r="H6" s="6">
        <v>21600</v>
      </c>
      <c r="I6" s="2">
        <v>21600</v>
      </c>
      <c r="J6" s="2" t="s">
        <v>24</v>
      </c>
      <c r="K6" s="7"/>
      <c r="L6" s="7"/>
      <c r="M6" s="7"/>
      <c r="N6" s="7"/>
      <c r="O6" s="7"/>
      <c r="P6" s="2">
        <v>1</v>
      </c>
      <c r="Q6" s="2">
        <f t="shared" si="1"/>
        <v>21600</v>
      </c>
    </row>
    <row r="7" spans="1:17" x14ac:dyDescent="0.25">
      <c r="A7" s="1">
        <v>14030267048</v>
      </c>
      <c r="B7" s="2">
        <v>29</v>
      </c>
      <c r="C7" s="2" t="s">
        <v>9</v>
      </c>
      <c r="D7" s="2" t="s">
        <v>27</v>
      </c>
      <c r="E7" s="2" t="s">
        <v>28</v>
      </c>
      <c r="F7" s="2" t="s">
        <v>17</v>
      </c>
      <c r="G7" s="2">
        <v>1</v>
      </c>
      <c r="H7" s="6">
        <v>460</v>
      </c>
      <c r="I7" s="2">
        <v>460</v>
      </c>
      <c r="J7" s="2" t="s">
        <v>21</v>
      </c>
      <c r="K7" s="7"/>
      <c r="L7" s="7"/>
      <c r="M7" s="7"/>
      <c r="N7" s="7"/>
      <c r="O7" s="7">
        <v>1</v>
      </c>
      <c r="P7" s="2">
        <v>1</v>
      </c>
      <c r="Q7" s="2">
        <f t="shared" si="1"/>
        <v>460</v>
      </c>
    </row>
    <row r="8" spans="1:17" x14ac:dyDescent="0.25">
      <c r="A8" s="1">
        <v>14030267048</v>
      </c>
      <c r="B8" s="2">
        <v>11</v>
      </c>
      <c r="C8" s="2" t="s">
        <v>9</v>
      </c>
      <c r="D8" s="2" t="s">
        <v>29</v>
      </c>
      <c r="E8" s="2" t="s">
        <v>30</v>
      </c>
      <c r="F8" s="2" t="s">
        <v>12</v>
      </c>
      <c r="G8" s="2">
        <v>70</v>
      </c>
      <c r="H8" s="6">
        <v>60</v>
      </c>
      <c r="I8" s="2">
        <v>4200</v>
      </c>
      <c r="J8" s="2" t="s">
        <v>13</v>
      </c>
      <c r="K8" s="7"/>
      <c r="L8" s="7"/>
      <c r="M8" s="7"/>
      <c r="N8" s="7"/>
      <c r="O8" s="7"/>
      <c r="P8" s="2">
        <v>70</v>
      </c>
      <c r="Q8" s="2">
        <f t="shared" si="1"/>
        <v>4200</v>
      </c>
    </row>
    <row r="9" spans="1:17" x14ac:dyDescent="0.25">
      <c r="A9" s="1">
        <v>14030267048</v>
      </c>
      <c r="B9" s="2">
        <v>31</v>
      </c>
      <c r="C9" s="2" t="s">
        <v>9</v>
      </c>
      <c r="D9" s="2" t="s">
        <v>31</v>
      </c>
      <c r="E9" s="2" t="s">
        <v>32</v>
      </c>
      <c r="F9" s="2" t="s">
        <v>17</v>
      </c>
      <c r="G9" s="2">
        <v>3</v>
      </c>
      <c r="H9" s="6">
        <v>795</v>
      </c>
      <c r="I9" s="2">
        <v>2385</v>
      </c>
      <c r="J9" s="2" t="s">
        <v>13</v>
      </c>
      <c r="K9" s="7"/>
      <c r="L9" s="7"/>
      <c r="M9" s="7"/>
      <c r="N9" s="8">
        <v>1</v>
      </c>
      <c r="O9" s="7"/>
      <c r="P9" s="2">
        <f t="shared" si="0"/>
        <v>1</v>
      </c>
      <c r="Q9" s="2">
        <f t="shared" si="1"/>
        <v>795</v>
      </c>
    </row>
    <row r="10" spans="1:17" x14ac:dyDescent="0.25">
      <c r="A10" s="1">
        <v>14030267048</v>
      </c>
      <c r="B10" s="2">
        <v>35</v>
      </c>
      <c r="C10" s="2" t="s">
        <v>9</v>
      </c>
      <c r="D10" s="2" t="s">
        <v>33</v>
      </c>
      <c r="E10" s="2" t="s">
        <v>34</v>
      </c>
      <c r="F10" s="2" t="s">
        <v>35</v>
      </c>
      <c r="G10" s="2">
        <v>2</v>
      </c>
      <c r="H10" s="6">
        <v>398</v>
      </c>
      <c r="I10" s="2">
        <v>796</v>
      </c>
      <c r="J10" s="2" t="s">
        <v>24</v>
      </c>
      <c r="K10" s="7"/>
      <c r="L10" s="7"/>
      <c r="M10" s="7"/>
      <c r="N10" s="7"/>
      <c r="O10" s="7"/>
      <c r="P10" s="2">
        <v>2</v>
      </c>
      <c r="Q10" s="2">
        <f t="shared" si="1"/>
        <v>796</v>
      </c>
    </row>
    <row r="11" spans="1:17" x14ac:dyDescent="0.25">
      <c r="A11" s="1">
        <v>14030267048</v>
      </c>
      <c r="B11" s="2">
        <v>20</v>
      </c>
      <c r="C11" s="2" t="s">
        <v>9</v>
      </c>
      <c r="D11" s="2" t="s">
        <v>36</v>
      </c>
      <c r="E11" s="2" t="s">
        <v>37</v>
      </c>
      <c r="F11" s="2" t="s">
        <v>35</v>
      </c>
      <c r="G11" s="2">
        <v>63</v>
      </c>
      <c r="H11" s="6">
        <v>90</v>
      </c>
      <c r="I11" s="2">
        <v>5670</v>
      </c>
      <c r="J11" s="2" t="s">
        <v>13</v>
      </c>
      <c r="K11" s="7"/>
      <c r="L11" s="7"/>
      <c r="M11" s="7"/>
      <c r="N11" s="7"/>
      <c r="O11" s="7">
        <v>63</v>
      </c>
      <c r="P11" s="2">
        <f t="shared" si="0"/>
        <v>63</v>
      </c>
      <c r="Q11" s="2">
        <f t="shared" si="1"/>
        <v>5670</v>
      </c>
    </row>
    <row r="12" spans="1:17" x14ac:dyDescent="0.25">
      <c r="A12" s="1">
        <v>14030267048</v>
      </c>
      <c r="B12" s="2">
        <v>21</v>
      </c>
      <c r="C12" s="2" t="s">
        <v>9</v>
      </c>
      <c r="D12" s="2" t="s">
        <v>38</v>
      </c>
      <c r="E12" s="2" t="s">
        <v>39</v>
      </c>
      <c r="F12" s="2" t="s">
        <v>35</v>
      </c>
      <c r="G12" s="2">
        <v>10</v>
      </c>
      <c r="H12" s="6">
        <v>140</v>
      </c>
      <c r="I12" s="2">
        <v>1400</v>
      </c>
      <c r="J12" s="2" t="s">
        <v>13</v>
      </c>
      <c r="K12" s="7"/>
      <c r="L12" s="7"/>
      <c r="M12" s="7"/>
      <c r="N12" s="7"/>
      <c r="O12" s="7">
        <v>10</v>
      </c>
      <c r="P12" s="2">
        <f t="shared" si="0"/>
        <v>10</v>
      </c>
      <c r="Q12" s="2">
        <f t="shared" si="1"/>
        <v>1400</v>
      </c>
    </row>
    <row r="13" spans="1:17" x14ac:dyDescent="0.25">
      <c r="A13" s="1">
        <v>14030267048</v>
      </c>
      <c r="B13" s="2">
        <v>30</v>
      </c>
      <c r="C13" s="2" t="s">
        <v>9</v>
      </c>
      <c r="D13" s="2" t="s">
        <v>40</v>
      </c>
      <c r="E13" s="2" t="s">
        <v>41</v>
      </c>
      <c r="F13" s="2" t="s">
        <v>17</v>
      </c>
      <c r="G13" s="2">
        <v>1</v>
      </c>
      <c r="H13" s="6">
        <v>3180</v>
      </c>
      <c r="I13" s="2">
        <v>3180</v>
      </c>
      <c r="J13" s="2" t="s">
        <v>13</v>
      </c>
      <c r="K13" s="7"/>
      <c r="L13" s="7">
        <v>1</v>
      </c>
      <c r="M13" s="7"/>
      <c r="N13" s="7"/>
      <c r="O13" s="7"/>
      <c r="P13" s="2">
        <f t="shared" si="0"/>
        <v>1</v>
      </c>
      <c r="Q13" s="2">
        <f t="shared" si="1"/>
        <v>3180</v>
      </c>
    </row>
    <row r="14" spans="1:17" x14ac:dyDescent="0.25">
      <c r="A14" s="1">
        <v>14030267048</v>
      </c>
      <c r="B14" s="2">
        <v>36</v>
      </c>
      <c r="C14" s="2" t="s">
        <v>9</v>
      </c>
      <c r="D14" s="2" t="s">
        <v>42</v>
      </c>
      <c r="E14" s="2" t="s">
        <v>43</v>
      </c>
      <c r="F14" s="2" t="s">
        <v>35</v>
      </c>
      <c r="G14" s="2">
        <v>2</v>
      </c>
      <c r="H14" s="6">
        <v>69</v>
      </c>
      <c r="I14" s="2">
        <v>138</v>
      </c>
      <c r="J14" s="2" t="s">
        <v>21</v>
      </c>
      <c r="K14" s="7"/>
      <c r="L14" s="7"/>
      <c r="M14" s="7"/>
      <c r="N14" s="7"/>
      <c r="O14" s="7">
        <v>12</v>
      </c>
      <c r="P14" s="2">
        <f t="shared" si="0"/>
        <v>12</v>
      </c>
      <c r="Q14" s="2">
        <f t="shared" si="1"/>
        <v>828</v>
      </c>
    </row>
    <row r="15" spans="1:17" x14ac:dyDescent="0.25">
      <c r="A15" s="1">
        <v>14030267048</v>
      </c>
      <c r="B15" s="2">
        <v>28</v>
      </c>
      <c r="C15" s="2" t="s">
        <v>9</v>
      </c>
      <c r="D15" s="2" t="s">
        <v>44</v>
      </c>
      <c r="E15" s="2" t="s">
        <v>45</v>
      </c>
      <c r="F15" s="2" t="s">
        <v>17</v>
      </c>
      <c r="G15" s="2">
        <v>2</v>
      </c>
      <c r="H15" s="6">
        <v>2000</v>
      </c>
      <c r="I15" s="2">
        <v>4000</v>
      </c>
      <c r="J15" s="2" t="s">
        <v>13</v>
      </c>
      <c r="K15" s="7"/>
      <c r="L15" s="7"/>
      <c r="M15" s="7">
        <v>2</v>
      </c>
      <c r="N15" s="7"/>
      <c r="O15" s="7"/>
      <c r="P15" s="2">
        <f t="shared" si="0"/>
        <v>2</v>
      </c>
      <c r="Q15" s="2">
        <f t="shared" si="1"/>
        <v>4000</v>
      </c>
    </row>
    <row r="16" spans="1:17" x14ac:dyDescent="0.25">
      <c r="A16" s="1">
        <v>14030267048</v>
      </c>
      <c r="B16" s="2">
        <v>26</v>
      </c>
      <c r="C16" s="2" t="s">
        <v>9</v>
      </c>
      <c r="D16" s="2" t="s">
        <v>46</v>
      </c>
      <c r="E16" s="2" t="s">
        <v>47</v>
      </c>
      <c r="F16" s="2" t="s">
        <v>17</v>
      </c>
      <c r="G16" s="2">
        <v>1</v>
      </c>
      <c r="H16" s="6">
        <v>500</v>
      </c>
      <c r="I16" s="2">
        <v>500</v>
      </c>
      <c r="J16" s="2" t="s">
        <v>48</v>
      </c>
      <c r="K16" s="7"/>
      <c r="L16" s="7"/>
      <c r="M16" s="7"/>
      <c r="N16" s="7"/>
      <c r="O16" s="7">
        <v>1</v>
      </c>
      <c r="P16" s="2">
        <f t="shared" si="0"/>
        <v>1</v>
      </c>
      <c r="Q16" s="2">
        <f t="shared" si="1"/>
        <v>500</v>
      </c>
    </row>
    <row r="17" spans="1:17" x14ac:dyDescent="0.25">
      <c r="A17" s="1">
        <v>14030267048</v>
      </c>
      <c r="B17" s="2">
        <v>25</v>
      </c>
      <c r="C17" s="2" t="s">
        <v>9</v>
      </c>
      <c r="D17" s="2" t="s">
        <v>49</v>
      </c>
      <c r="E17" s="2" t="s">
        <v>50</v>
      </c>
      <c r="F17" s="2" t="s">
        <v>17</v>
      </c>
      <c r="G17" s="2">
        <v>1</v>
      </c>
      <c r="H17" s="6">
        <v>1200</v>
      </c>
      <c r="I17" s="2">
        <v>1200</v>
      </c>
      <c r="J17" s="2" t="s">
        <v>51</v>
      </c>
      <c r="K17" s="7"/>
      <c r="L17" s="7"/>
      <c r="M17" s="7"/>
      <c r="N17" s="7"/>
      <c r="O17" s="7"/>
      <c r="P17" s="2">
        <v>1</v>
      </c>
      <c r="Q17" s="2">
        <f t="shared" si="1"/>
        <v>1200</v>
      </c>
    </row>
    <row r="18" spans="1:17" x14ac:dyDescent="0.25">
      <c r="A18" s="1">
        <v>14030267048</v>
      </c>
      <c r="B18" s="2">
        <v>39</v>
      </c>
      <c r="C18" s="2" t="s">
        <v>9</v>
      </c>
      <c r="D18" s="2" t="s">
        <v>53</v>
      </c>
      <c r="E18" s="2" t="s">
        <v>54</v>
      </c>
      <c r="F18" s="2" t="s">
        <v>17</v>
      </c>
      <c r="G18" s="2">
        <v>1</v>
      </c>
      <c r="H18" s="6">
        <v>200</v>
      </c>
      <c r="I18" s="2">
        <v>200</v>
      </c>
      <c r="J18" s="2" t="s">
        <v>52</v>
      </c>
      <c r="K18" s="7"/>
      <c r="L18" s="7"/>
      <c r="M18" s="7"/>
      <c r="N18" s="7"/>
      <c r="O18" s="7">
        <v>1</v>
      </c>
      <c r="P18" s="2">
        <f t="shared" si="0"/>
        <v>1</v>
      </c>
      <c r="Q18" s="2">
        <f t="shared" si="1"/>
        <v>200</v>
      </c>
    </row>
    <row r="19" spans="1:17" x14ac:dyDescent="0.25">
      <c r="A19" s="1">
        <v>14030267048</v>
      </c>
      <c r="B19" s="2">
        <v>8</v>
      </c>
      <c r="C19" s="2" t="s">
        <v>9</v>
      </c>
      <c r="D19" s="2" t="s">
        <v>55</v>
      </c>
      <c r="E19" s="2" t="s">
        <v>56</v>
      </c>
      <c r="F19" s="2" t="s">
        <v>17</v>
      </c>
      <c r="G19" s="2">
        <v>1</v>
      </c>
      <c r="H19" s="6">
        <v>1000</v>
      </c>
      <c r="I19" s="2">
        <v>1000</v>
      </c>
      <c r="J19" s="2" t="s">
        <v>24</v>
      </c>
      <c r="K19" s="7"/>
      <c r="L19" s="7"/>
      <c r="M19" s="7"/>
      <c r="N19" s="7"/>
      <c r="O19" s="7">
        <v>1</v>
      </c>
      <c r="P19" s="2">
        <f t="shared" si="0"/>
        <v>1</v>
      </c>
      <c r="Q19" s="2">
        <f t="shared" si="1"/>
        <v>1000</v>
      </c>
    </row>
    <row r="20" spans="1:17" x14ac:dyDescent="0.25">
      <c r="A20" s="1">
        <v>14030267048</v>
      </c>
      <c r="B20" s="2">
        <v>7</v>
      </c>
      <c r="C20" s="2" t="s">
        <v>9</v>
      </c>
      <c r="D20" s="2" t="s">
        <v>57</v>
      </c>
      <c r="E20" s="2" t="s">
        <v>58</v>
      </c>
      <c r="F20" s="2" t="s">
        <v>17</v>
      </c>
      <c r="G20" s="2">
        <v>1</v>
      </c>
      <c r="H20" s="6">
        <v>1500</v>
      </c>
      <c r="I20" s="2">
        <v>1500</v>
      </c>
      <c r="J20" s="2" t="s">
        <v>59</v>
      </c>
      <c r="K20" s="7"/>
      <c r="L20" s="7"/>
      <c r="M20" s="7"/>
      <c r="N20" s="7"/>
      <c r="O20" s="7"/>
      <c r="P20" s="2">
        <v>1</v>
      </c>
      <c r="Q20" s="2">
        <f t="shared" si="1"/>
        <v>1500</v>
      </c>
    </row>
    <row r="21" spans="1:17" x14ac:dyDescent="0.25">
      <c r="A21" s="1">
        <v>14030267048</v>
      </c>
      <c r="B21" s="2">
        <v>37</v>
      </c>
      <c r="C21" s="2" t="s">
        <v>9</v>
      </c>
      <c r="D21" s="2" t="s">
        <v>60</v>
      </c>
      <c r="E21" s="2" t="s">
        <v>61</v>
      </c>
      <c r="F21" s="2" t="s">
        <v>12</v>
      </c>
      <c r="G21" s="2">
        <v>1.54</v>
      </c>
      <c r="H21" s="6">
        <v>4715</v>
      </c>
      <c r="I21" s="2">
        <v>7261.1</v>
      </c>
      <c r="J21" s="2" t="s">
        <v>13</v>
      </c>
      <c r="K21" s="7">
        <v>1.75</v>
      </c>
      <c r="L21" s="7"/>
      <c r="M21" s="7"/>
      <c r="N21" s="7"/>
      <c r="O21" s="7"/>
      <c r="P21" s="2">
        <f t="shared" si="0"/>
        <v>1.75</v>
      </c>
      <c r="Q21" s="2">
        <f t="shared" si="1"/>
        <v>8251.25</v>
      </c>
    </row>
    <row r="22" spans="1:17" x14ac:dyDescent="0.25">
      <c r="A22" s="1">
        <v>14030267048</v>
      </c>
      <c r="B22" s="2">
        <v>17</v>
      </c>
      <c r="C22" s="2" t="s">
        <v>9</v>
      </c>
      <c r="D22" s="2" t="s">
        <v>62</v>
      </c>
      <c r="E22" s="2" t="s">
        <v>63</v>
      </c>
      <c r="F22" s="2" t="s">
        <v>35</v>
      </c>
      <c r="G22" s="2">
        <v>3.3</v>
      </c>
      <c r="H22" s="6">
        <v>106</v>
      </c>
      <c r="I22" s="2">
        <v>349.8</v>
      </c>
      <c r="J22" s="2" t="s">
        <v>21</v>
      </c>
      <c r="K22" s="7"/>
      <c r="L22" s="7">
        <v>1.8</v>
      </c>
      <c r="M22" s="7"/>
      <c r="N22" s="7"/>
      <c r="O22" s="7"/>
      <c r="P22" s="2">
        <f t="shared" si="0"/>
        <v>1.8</v>
      </c>
      <c r="Q22" s="2">
        <f t="shared" si="1"/>
        <v>190.8</v>
      </c>
    </row>
    <row r="23" spans="1:17" x14ac:dyDescent="0.25">
      <c r="A23" s="1">
        <v>14030267048</v>
      </c>
      <c r="B23" s="2">
        <v>10</v>
      </c>
      <c r="C23" s="2" t="s">
        <v>9</v>
      </c>
      <c r="D23" s="2" t="s">
        <v>64</v>
      </c>
      <c r="E23" s="2" t="s">
        <v>65</v>
      </c>
      <c r="F23" s="2" t="s">
        <v>12</v>
      </c>
      <c r="G23" s="2">
        <v>15.71</v>
      </c>
      <c r="H23" s="6">
        <v>6645</v>
      </c>
      <c r="I23" s="2">
        <v>104392.95</v>
      </c>
      <c r="J23" s="2" t="s">
        <v>13</v>
      </c>
      <c r="K23" s="7">
        <v>11.664</v>
      </c>
      <c r="L23" s="7">
        <v>4.76</v>
      </c>
      <c r="M23" s="7"/>
      <c r="N23" s="7"/>
      <c r="O23" s="7">
        <v>0.27</v>
      </c>
      <c r="P23" s="2">
        <f t="shared" si="0"/>
        <v>16.693999999999999</v>
      </c>
      <c r="Q23" s="2">
        <f t="shared" si="1"/>
        <v>110931.62999999999</v>
      </c>
    </row>
    <row r="24" spans="1:17" x14ac:dyDescent="0.25">
      <c r="A24" s="1">
        <v>14030267048</v>
      </c>
      <c r="B24" s="2">
        <v>24</v>
      </c>
      <c r="C24" s="2" t="s">
        <v>9</v>
      </c>
      <c r="D24" s="2" t="s">
        <v>66</v>
      </c>
      <c r="E24" s="2" t="s">
        <v>67</v>
      </c>
      <c r="F24" s="2" t="s">
        <v>68</v>
      </c>
      <c r="G24" s="2">
        <v>2068.7800000000002</v>
      </c>
      <c r="H24" s="6">
        <v>70.75</v>
      </c>
      <c r="I24" s="2">
        <v>146366.19</v>
      </c>
      <c r="J24" s="2" t="s">
        <v>13</v>
      </c>
      <c r="K24" s="7">
        <v>1674.02</v>
      </c>
      <c r="L24" s="7">
        <v>470.26400000000001</v>
      </c>
      <c r="M24" s="7"/>
      <c r="N24" s="7"/>
      <c r="O24" s="7">
        <v>7.8760000000000003</v>
      </c>
      <c r="P24" s="2">
        <f t="shared" si="0"/>
        <v>2152.1600000000003</v>
      </c>
      <c r="Q24" s="2">
        <f t="shared" si="1"/>
        <v>152265.32000000004</v>
      </c>
    </row>
    <row r="25" spans="1:17" x14ac:dyDescent="0.25">
      <c r="A25" s="1">
        <v>14030267048</v>
      </c>
      <c r="B25" s="2">
        <v>23</v>
      </c>
      <c r="C25" s="2" t="s">
        <v>9</v>
      </c>
      <c r="D25" s="2" t="s">
        <v>69</v>
      </c>
      <c r="E25" s="2" t="s">
        <v>70</v>
      </c>
      <c r="F25" s="2" t="s">
        <v>71</v>
      </c>
      <c r="G25" s="2">
        <v>62.91</v>
      </c>
      <c r="H25" s="6">
        <v>290</v>
      </c>
      <c r="I25" s="2">
        <v>18243.900000000001</v>
      </c>
      <c r="J25" s="2" t="s">
        <v>13</v>
      </c>
      <c r="K25" s="7">
        <v>23.35</v>
      </c>
      <c r="L25" s="7">
        <v>14.64</v>
      </c>
      <c r="M25" s="7"/>
      <c r="N25" s="7"/>
      <c r="O25" s="9">
        <v>1.8</v>
      </c>
      <c r="P25" s="2">
        <f>SUM(K25:O25)</f>
        <v>39.79</v>
      </c>
      <c r="Q25" s="2">
        <f t="shared" si="1"/>
        <v>11539.1</v>
      </c>
    </row>
    <row r="26" spans="1:17" x14ac:dyDescent="0.25">
      <c r="A26" s="1">
        <v>14030267048</v>
      </c>
      <c r="B26" s="2">
        <v>22</v>
      </c>
      <c r="C26" s="2" t="s">
        <v>9</v>
      </c>
      <c r="D26" s="2" t="s">
        <v>72</v>
      </c>
      <c r="E26" s="2" t="s">
        <v>73</v>
      </c>
      <c r="F26" s="2" t="s">
        <v>17</v>
      </c>
      <c r="G26" s="2">
        <v>8</v>
      </c>
      <c r="H26" s="6">
        <v>500</v>
      </c>
      <c r="I26" s="2">
        <v>4000</v>
      </c>
      <c r="J26" s="2" t="s">
        <v>13</v>
      </c>
      <c r="K26" s="7"/>
      <c r="L26" s="7"/>
      <c r="M26" s="7"/>
      <c r="N26" s="7"/>
      <c r="O26" s="7"/>
      <c r="P26" s="2">
        <v>8</v>
      </c>
      <c r="Q26" s="2">
        <f t="shared" si="1"/>
        <v>4000</v>
      </c>
    </row>
    <row r="27" spans="1:17" x14ac:dyDescent="0.25">
      <c r="A27" s="2" t="s">
        <v>110</v>
      </c>
      <c r="B27" s="2"/>
      <c r="C27" s="2" t="s">
        <v>9</v>
      </c>
      <c r="D27" s="2" t="s">
        <v>108</v>
      </c>
      <c r="E27" s="2" t="s">
        <v>109</v>
      </c>
      <c r="F27" s="2" t="s">
        <v>35</v>
      </c>
      <c r="G27" s="2"/>
      <c r="H27" s="2">
        <v>92.5</v>
      </c>
      <c r="I27" s="2"/>
      <c r="J27" s="2"/>
      <c r="K27" s="2"/>
      <c r="L27" s="2"/>
      <c r="M27" s="2"/>
      <c r="N27" s="2"/>
      <c r="O27" s="7">
        <v>6</v>
      </c>
      <c r="P27" s="2">
        <f t="shared" si="0"/>
        <v>6</v>
      </c>
      <c r="Q27" s="2">
        <f t="shared" si="1"/>
        <v>555</v>
      </c>
    </row>
    <row r="28" spans="1:17" x14ac:dyDescent="0.25">
      <c r="A28" s="2" t="s">
        <v>110</v>
      </c>
      <c r="B28" s="2"/>
      <c r="C28" s="2" t="s">
        <v>9</v>
      </c>
      <c r="D28" s="2" t="s">
        <v>96</v>
      </c>
      <c r="E28" s="2" t="s">
        <v>97</v>
      </c>
      <c r="F28" s="2" t="s">
        <v>35</v>
      </c>
      <c r="G28" s="2"/>
      <c r="H28" s="2">
        <v>136.52000000000001</v>
      </c>
      <c r="I28" s="2"/>
      <c r="J28" s="2"/>
      <c r="K28" s="2"/>
      <c r="L28" s="2"/>
      <c r="M28" s="2"/>
      <c r="N28" s="2"/>
      <c r="O28" s="7">
        <v>9.5</v>
      </c>
      <c r="P28" s="2">
        <f t="shared" si="0"/>
        <v>9.5</v>
      </c>
      <c r="Q28" s="2">
        <f t="shared" si="1"/>
        <v>1296.94</v>
      </c>
    </row>
    <row r="29" spans="1:17" x14ac:dyDescent="0.25">
      <c r="A29" s="2" t="s">
        <v>110</v>
      </c>
      <c r="B29" s="2"/>
      <c r="C29" s="2" t="s">
        <v>9</v>
      </c>
      <c r="D29" s="2" t="s">
        <v>90</v>
      </c>
      <c r="E29" s="2" t="s">
        <v>91</v>
      </c>
      <c r="F29" s="2" t="s">
        <v>35</v>
      </c>
      <c r="G29" s="2"/>
      <c r="H29" s="2">
        <v>150.43</v>
      </c>
      <c r="I29" s="2"/>
      <c r="J29" s="2"/>
      <c r="K29" s="2"/>
      <c r="L29" s="2"/>
      <c r="M29" s="2"/>
      <c r="N29" s="2"/>
      <c r="O29" s="7">
        <v>10</v>
      </c>
      <c r="P29" s="2">
        <f t="shared" si="0"/>
        <v>10</v>
      </c>
      <c r="Q29" s="2">
        <f t="shared" si="1"/>
        <v>1504.3000000000002</v>
      </c>
    </row>
    <row r="30" spans="1:17" x14ac:dyDescent="0.25">
      <c r="A30" s="2" t="s">
        <v>110</v>
      </c>
      <c r="B30" s="2"/>
      <c r="C30" s="2" t="s">
        <v>9</v>
      </c>
      <c r="D30" s="2" t="s">
        <v>84</v>
      </c>
      <c r="E30" s="2" t="s">
        <v>85</v>
      </c>
      <c r="F30" s="2" t="s">
        <v>35</v>
      </c>
      <c r="G30" s="2"/>
      <c r="H30" s="2">
        <v>139.18</v>
      </c>
      <c r="I30" s="2"/>
      <c r="J30" s="2"/>
      <c r="K30" s="2"/>
      <c r="L30" s="2"/>
      <c r="M30" s="2"/>
      <c r="N30" s="2"/>
      <c r="O30" s="9">
        <v>1.5</v>
      </c>
      <c r="P30" s="2">
        <f t="shared" si="0"/>
        <v>1.5</v>
      </c>
      <c r="Q30" s="2">
        <f t="shared" si="1"/>
        <v>208.77</v>
      </c>
    </row>
    <row r="31" spans="1:17" x14ac:dyDescent="0.25">
      <c r="A31" s="2" t="s">
        <v>110</v>
      </c>
      <c r="B31" s="2"/>
      <c r="C31" s="2" t="s">
        <v>9</v>
      </c>
      <c r="D31" s="2" t="s">
        <v>88</v>
      </c>
      <c r="E31" s="2" t="s">
        <v>89</v>
      </c>
      <c r="F31" s="2" t="s">
        <v>35</v>
      </c>
      <c r="G31" s="2"/>
      <c r="H31" s="2">
        <v>359.1</v>
      </c>
      <c r="I31" s="2"/>
      <c r="J31" s="2"/>
      <c r="K31" s="2"/>
      <c r="L31" s="2"/>
      <c r="M31" s="2"/>
      <c r="N31" s="2"/>
      <c r="O31" s="9">
        <v>5</v>
      </c>
      <c r="P31" s="2">
        <f t="shared" si="0"/>
        <v>5</v>
      </c>
      <c r="Q31" s="2">
        <f t="shared" si="1"/>
        <v>1795.5</v>
      </c>
    </row>
    <row r="32" spans="1:17" x14ac:dyDescent="0.25">
      <c r="A32" s="2" t="s">
        <v>110</v>
      </c>
      <c r="B32" s="2"/>
      <c r="C32" s="2" t="s">
        <v>9</v>
      </c>
      <c r="D32" s="2" t="s">
        <v>86</v>
      </c>
      <c r="E32" s="2" t="s">
        <v>87</v>
      </c>
      <c r="F32" s="2" t="s">
        <v>35</v>
      </c>
      <c r="G32" s="2"/>
      <c r="H32" s="2">
        <v>419.31</v>
      </c>
      <c r="I32" s="2"/>
      <c r="J32" s="2"/>
      <c r="K32" s="2"/>
      <c r="L32" s="2"/>
      <c r="M32" s="2"/>
      <c r="N32" s="2"/>
      <c r="O32" s="9">
        <v>8</v>
      </c>
      <c r="P32" s="2">
        <f t="shared" si="0"/>
        <v>8</v>
      </c>
      <c r="Q32" s="2">
        <f t="shared" si="1"/>
        <v>3354.48</v>
      </c>
    </row>
    <row r="33" spans="1:17" x14ac:dyDescent="0.25">
      <c r="A33" s="2" t="s">
        <v>110</v>
      </c>
      <c r="B33" s="2"/>
      <c r="C33" s="2" t="s">
        <v>9</v>
      </c>
      <c r="D33" s="2" t="s">
        <v>94</v>
      </c>
      <c r="E33" s="2" t="s">
        <v>95</v>
      </c>
      <c r="F33" s="2" t="s">
        <v>35</v>
      </c>
      <c r="G33" s="2"/>
      <c r="H33" s="2">
        <v>387.24</v>
      </c>
      <c r="I33" s="2"/>
      <c r="J33" s="2"/>
      <c r="K33" s="2"/>
      <c r="L33" s="2"/>
      <c r="M33" s="2"/>
      <c r="N33" s="2"/>
      <c r="O33" s="9">
        <v>1.5</v>
      </c>
      <c r="P33" s="2">
        <f t="shared" si="0"/>
        <v>1.5</v>
      </c>
      <c r="Q33" s="2">
        <f t="shared" si="1"/>
        <v>580.86</v>
      </c>
    </row>
    <row r="34" spans="1:17" x14ac:dyDescent="0.25">
      <c r="A34" s="2" t="s">
        <v>110</v>
      </c>
      <c r="B34" s="2"/>
      <c r="C34" s="2" t="s">
        <v>9</v>
      </c>
      <c r="D34" s="2" t="s">
        <v>92</v>
      </c>
      <c r="E34" s="2" t="s">
        <v>93</v>
      </c>
      <c r="F34" s="2" t="s">
        <v>35</v>
      </c>
      <c r="G34" s="2"/>
      <c r="H34" s="2">
        <v>387.24</v>
      </c>
      <c r="I34" s="2"/>
      <c r="J34" s="2"/>
      <c r="K34" s="2"/>
      <c r="L34" s="2"/>
      <c r="M34" s="2"/>
      <c r="N34" s="2"/>
      <c r="O34" s="9">
        <v>2</v>
      </c>
      <c r="P34" s="2">
        <f t="shared" si="0"/>
        <v>2</v>
      </c>
      <c r="Q34" s="2">
        <f t="shared" si="1"/>
        <v>774.48</v>
      </c>
    </row>
    <row r="35" spans="1:17" x14ac:dyDescent="0.25">
      <c r="A35" s="2" t="s">
        <v>110</v>
      </c>
      <c r="B35" s="2"/>
      <c r="C35" s="2" t="s">
        <v>9</v>
      </c>
      <c r="D35" s="2" t="s">
        <v>98</v>
      </c>
      <c r="E35" s="2" t="s">
        <v>99</v>
      </c>
      <c r="F35" s="2" t="s">
        <v>35</v>
      </c>
      <c r="G35" s="2"/>
      <c r="H35" s="2">
        <v>177.46</v>
      </c>
      <c r="I35" s="2"/>
      <c r="J35" s="2"/>
      <c r="K35" s="2"/>
      <c r="L35" s="2"/>
      <c r="M35" s="2"/>
      <c r="N35" s="2"/>
      <c r="O35" s="9">
        <v>11.5</v>
      </c>
      <c r="P35" s="2">
        <f t="shared" si="0"/>
        <v>11.5</v>
      </c>
      <c r="Q35" s="2">
        <f t="shared" si="1"/>
        <v>2040.7900000000002</v>
      </c>
    </row>
    <row r="36" spans="1:17" x14ac:dyDescent="0.25">
      <c r="A36" s="2" t="s">
        <v>110</v>
      </c>
      <c r="B36" s="2"/>
      <c r="C36" s="2" t="s">
        <v>9</v>
      </c>
      <c r="D36" s="2" t="s">
        <v>80</v>
      </c>
      <c r="E36" s="2" t="s">
        <v>81</v>
      </c>
      <c r="F36" s="2" t="s">
        <v>17</v>
      </c>
      <c r="G36" s="2"/>
      <c r="H36" s="2">
        <v>50</v>
      </c>
      <c r="I36" s="2"/>
      <c r="J36" s="2"/>
      <c r="K36" s="2"/>
      <c r="L36" s="2"/>
      <c r="M36" s="2"/>
      <c r="N36" s="2"/>
      <c r="O36" s="9">
        <v>1</v>
      </c>
      <c r="P36" s="2">
        <f t="shared" si="0"/>
        <v>1</v>
      </c>
      <c r="Q36" s="2">
        <f t="shared" si="1"/>
        <v>50</v>
      </c>
    </row>
    <row r="37" spans="1:17" x14ac:dyDescent="0.25">
      <c r="A37" s="2" t="s">
        <v>110</v>
      </c>
      <c r="B37" s="2"/>
      <c r="C37" s="2" t="s">
        <v>9</v>
      </c>
      <c r="D37" s="2" t="s">
        <v>102</v>
      </c>
      <c r="E37" s="2" t="s">
        <v>103</v>
      </c>
      <c r="F37" s="2" t="s">
        <v>17</v>
      </c>
      <c r="G37" s="2"/>
      <c r="H37" s="2">
        <v>265</v>
      </c>
      <c r="I37" s="2"/>
      <c r="J37" s="2"/>
      <c r="K37" s="2"/>
      <c r="L37" s="2"/>
      <c r="M37" s="2"/>
      <c r="N37" s="2"/>
      <c r="O37" s="9">
        <v>1</v>
      </c>
      <c r="P37" s="2">
        <f t="shared" si="0"/>
        <v>1</v>
      </c>
      <c r="Q37" s="2">
        <f t="shared" si="1"/>
        <v>265</v>
      </c>
    </row>
    <row r="38" spans="1:17" x14ac:dyDescent="0.25">
      <c r="A38" s="2" t="s">
        <v>110</v>
      </c>
      <c r="B38" s="2"/>
      <c r="C38" s="2" t="s">
        <v>9</v>
      </c>
      <c r="D38" s="2" t="s">
        <v>104</v>
      </c>
      <c r="E38" s="2" t="s">
        <v>105</v>
      </c>
      <c r="F38" s="2" t="s">
        <v>17</v>
      </c>
      <c r="G38" s="2"/>
      <c r="H38" s="2">
        <v>242</v>
      </c>
      <c r="I38" s="2"/>
      <c r="J38" s="2"/>
      <c r="K38" s="2"/>
      <c r="L38" s="2"/>
      <c r="M38" s="2"/>
      <c r="N38" s="2"/>
      <c r="O38" s="9">
        <v>1</v>
      </c>
      <c r="P38" s="2">
        <f t="shared" si="0"/>
        <v>1</v>
      </c>
      <c r="Q38" s="2">
        <f t="shared" si="1"/>
        <v>242</v>
      </c>
    </row>
    <row r="39" spans="1:17" x14ac:dyDescent="0.25">
      <c r="A39" s="2" t="s">
        <v>110</v>
      </c>
      <c r="B39" s="2"/>
      <c r="C39" s="10" t="s">
        <v>9</v>
      </c>
      <c r="D39" s="10" t="s">
        <v>100</v>
      </c>
      <c r="E39" s="10" t="s">
        <v>101</v>
      </c>
      <c r="F39" s="10" t="s">
        <v>35</v>
      </c>
      <c r="G39" s="10"/>
      <c r="H39" s="10">
        <v>89.42</v>
      </c>
      <c r="I39" s="2"/>
      <c r="J39" s="2"/>
      <c r="K39" s="2"/>
      <c r="L39" s="2"/>
      <c r="M39" s="2"/>
      <c r="N39" s="2"/>
      <c r="O39" s="9">
        <v>2</v>
      </c>
      <c r="P39" s="2">
        <f t="shared" si="0"/>
        <v>2</v>
      </c>
      <c r="Q39" s="2">
        <f t="shared" si="1"/>
        <v>178.84</v>
      </c>
    </row>
    <row r="40" spans="1:17" x14ac:dyDescent="0.25">
      <c r="A40" s="2" t="s">
        <v>110</v>
      </c>
      <c r="B40" s="2"/>
      <c r="C40" s="2" t="s">
        <v>9</v>
      </c>
      <c r="D40" s="2" t="s">
        <v>106</v>
      </c>
      <c r="E40" s="1" t="s">
        <v>107</v>
      </c>
      <c r="F40" s="2" t="s">
        <v>68</v>
      </c>
      <c r="G40" s="2"/>
      <c r="H40" s="2">
        <v>85</v>
      </c>
      <c r="I40" s="2"/>
      <c r="J40" s="2"/>
      <c r="K40" s="2"/>
      <c r="L40" s="2"/>
      <c r="M40" s="2"/>
      <c r="N40" s="2"/>
      <c r="O40" s="9">
        <v>65</v>
      </c>
      <c r="P40" s="2">
        <f t="shared" si="0"/>
        <v>65</v>
      </c>
      <c r="Q40" s="2">
        <f t="shared" si="1"/>
        <v>5525</v>
      </c>
    </row>
    <row r="41" spans="1:17" x14ac:dyDescent="0.25">
      <c r="A41" s="2" t="s">
        <v>110</v>
      </c>
      <c r="B41" s="2"/>
      <c r="C41" s="2" t="s">
        <v>9</v>
      </c>
      <c r="D41" s="2" t="s">
        <v>82</v>
      </c>
      <c r="E41" s="2" t="s">
        <v>83</v>
      </c>
      <c r="F41" s="2" t="s">
        <v>17</v>
      </c>
      <c r="G41" s="2"/>
      <c r="H41" s="2">
        <v>1397</v>
      </c>
      <c r="I41" s="2"/>
      <c r="J41" s="2"/>
      <c r="K41" s="2"/>
      <c r="L41" s="2"/>
      <c r="M41" s="2"/>
      <c r="N41" s="2"/>
      <c r="O41" s="9">
        <v>1</v>
      </c>
      <c r="P41" s="2">
        <f t="shared" si="0"/>
        <v>1</v>
      </c>
      <c r="Q41" s="2">
        <f t="shared" si="1"/>
        <v>1397</v>
      </c>
    </row>
    <row r="42" spans="1:17" x14ac:dyDescent="0.25">
      <c r="Q42" s="11"/>
    </row>
  </sheetData>
  <autoFilter ref="A1:Q41"/>
  <conditionalFormatting sqref="D28">
    <cfRule type="duplicateValues" dxfId="13" priority="16"/>
  </conditionalFormatting>
  <conditionalFormatting sqref="D29">
    <cfRule type="duplicateValues" dxfId="12" priority="15"/>
  </conditionalFormatting>
  <conditionalFormatting sqref="D30">
    <cfRule type="duplicateValues" dxfId="11" priority="14"/>
  </conditionalFormatting>
  <conditionalFormatting sqref="D31">
    <cfRule type="duplicateValues" dxfId="10" priority="13"/>
  </conditionalFormatting>
  <conditionalFormatting sqref="D32">
    <cfRule type="duplicateValues" dxfId="9" priority="12"/>
  </conditionalFormatting>
  <conditionalFormatting sqref="D33">
    <cfRule type="duplicateValues" dxfId="8" priority="11"/>
  </conditionalFormatting>
  <conditionalFormatting sqref="D34">
    <cfRule type="duplicateValues" dxfId="7" priority="10"/>
  </conditionalFormatting>
  <conditionalFormatting sqref="D35">
    <cfRule type="duplicateValues" dxfId="6" priority="9"/>
  </conditionalFormatting>
  <conditionalFormatting sqref="D36">
    <cfRule type="duplicateValues" dxfId="5" priority="8"/>
  </conditionalFormatting>
  <conditionalFormatting sqref="D37">
    <cfRule type="duplicateValues" dxfId="4" priority="7"/>
  </conditionalFormatting>
  <conditionalFormatting sqref="D38">
    <cfRule type="duplicateValues" dxfId="3" priority="6"/>
  </conditionalFormatting>
  <conditionalFormatting sqref="D39">
    <cfRule type="duplicateValues" dxfId="2" priority="5"/>
  </conditionalFormatting>
  <conditionalFormatting sqref="D40">
    <cfRule type="duplicateValues" dxfId="1" priority="4"/>
  </conditionalFormatting>
  <conditionalFormatting sqref="D4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DHAVAL</cp:lastModifiedBy>
  <dcterms:created xsi:type="dcterms:W3CDTF">2023-01-07T11:40:18Z</dcterms:created>
  <dcterms:modified xsi:type="dcterms:W3CDTF">2023-01-10T12:31:19Z</dcterms:modified>
</cp:coreProperties>
</file>