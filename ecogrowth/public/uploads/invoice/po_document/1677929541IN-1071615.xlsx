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ktiraj\Download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Sheet1!$A$1:$K$12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1" l="1"/>
  <c r="K12" i="1"/>
  <c r="K11" i="1"/>
  <c r="K10" i="1"/>
  <c r="K9" i="1"/>
  <c r="K8" i="1"/>
  <c r="K7" i="1"/>
  <c r="K6" i="1"/>
  <c r="K5" i="1"/>
  <c r="K4" i="1"/>
  <c r="K3" i="1"/>
  <c r="K2" i="1"/>
  <c r="I10" i="1"/>
</calcChain>
</file>

<file path=xl/sharedStrings.xml><?xml version="1.0" encoding="utf-8"?>
<sst xmlns="http://schemas.openxmlformats.org/spreadsheetml/2006/main" count="99" uniqueCount="42">
  <si>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</si>
  <si>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</si>
  <si>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</si>
  <si>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</si>
  <si>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</si>
  <si>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</si>
  <si>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</si>
  <si>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</si>
  <si>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</si>
  <si>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</si>
  <si>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</si>
  <si>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IN-1071615</t>
  </si>
  <si>
    <t>SF-TVVA-0097574</t>
  </si>
  <si>
    <t>DIW001</t>
  </si>
  <si>
    <t>Banaskantha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</si>
  <si>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</si>
  <si>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</si>
  <si>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</si>
  <si>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</si>
  <si>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</si>
  <si>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</si>
  <si>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</si>
  <si>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14-900000-0-O2-ZZ-ZZ-115</t>
  </si>
  <si>
    <t>Supply of Hardware (8.8 grade),Version 2.0, Opex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</si>
  <si>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</si>
  <si>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</si>
  <si>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</si>
  <si>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</si>
  <si>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</si>
  <si>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</si>
  <si>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</si>
  <si>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</si>
  <si>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14-A00000-O-01-ZZ-ZZ-062</t>
  </si>
  <si>
    <t>Supply of Galvanized Steel - Flat-Plate- Pipe In Strengthening Activity, Version 1.0, -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</si>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</sst>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K15" sqref="K15"/>
    </sheetView>
  </sheetViews>
  <sheetFormatPr defaultRowHeight="15" x14ac:dyDescent="0.25"/>
  <cols>
    <col min="1" max="1" width="12.140625" customWidth="1"/>
    <col min="2" max="2" width="17" customWidth="1"/>
    <col min="7" max="7" width="24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3" t="s">
        <v>12</v>
      </c>
      <c r="C2" s="3" t="s">
        <v>13</v>
      </c>
      <c r="D2" s="3" t="s">
        <v>14</v>
      </c>
      <c r="E2" s="4" t="s">
        <v>15</v>
      </c>
      <c r="F2" s="4" t="s">
        <v>17</v>
      </c>
      <c r="G2" s="4" t="s">
        <v>18</v>
      </c>
      <c r="H2" s="4" t="s">
        <v>16</v>
      </c>
      <c r="I2" s="5">
        <v>1</v>
      </c>
      <c r="J2" s="4">
        <v>307</v>
      </c>
      <c r="K2" s="4">
        <f>I2*J2</f>
        <v>307</v>
      </c>
    </row>
    <row r="3" spans="1:11" x14ac:dyDescent="0.25">
      <c r="A3" s="2" t="s">
        <v>11</v>
      </c>
      <c r="B3" s="3" t="s">
        <v>12</v>
      </c>
      <c r="C3" s="3" t="s">
        <v>13</v>
      </c>
      <c r="D3" s="3" t="s">
        <v>14</v>
      </c>
      <c r="E3" s="4" t="s">
        <v>15</v>
      </c>
      <c r="F3" s="4" t="s">
        <v>19</v>
      </c>
      <c r="G3" s="4" t="s">
        <v>20</v>
      </c>
      <c r="H3" s="4" t="s">
        <v>21</v>
      </c>
      <c r="I3" s="5">
        <v>119.85</v>
      </c>
      <c r="J3" s="4">
        <v>110</v>
      </c>
      <c r="K3" s="4">
        <f t="shared" ref="K3:K12" si="0">I3*J3</f>
        <v>13183.5</v>
      </c>
    </row>
    <row r="4" spans="1:11" x14ac:dyDescent="0.25">
      <c r="A4" s="2" t="s">
        <v>11</v>
      </c>
      <c r="B4" s="3" t="s">
        <v>12</v>
      </c>
      <c r="C4" s="3" t="s">
        <v>13</v>
      </c>
      <c r="D4" s="3" t="s">
        <v>14</v>
      </c>
      <c r="E4" s="4" t="s">
        <v>15</v>
      </c>
      <c r="F4" s="4" t="s">
        <v>22</v>
      </c>
      <c r="G4" s="4" t="s">
        <v>23</v>
      </c>
      <c r="H4" s="4" t="s">
        <v>21</v>
      </c>
      <c r="I4" s="5">
        <v>5.55</v>
      </c>
      <c r="J4" s="4">
        <v>155</v>
      </c>
      <c r="K4" s="4">
        <f t="shared" si="0"/>
        <v>860.25</v>
      </c>
    </row>
    <row r="5" spans="1:11" x14ac:dyDescent="0.25">
      <c r="A5" s="2" t="s">
        <v>11</v>
      </c>
      <c r="B5" s="3" t="s">
        <v>12</v>
      </c>
      <c r="C5" s="3" t="s">
        <v>13</v>
      </c>
      <c r="D5" s="3" t="s">
        <v>14</v>
      </c>
      <c r="E5" s="4" t="s">
        <v>15</v>
      </c>
      <c r="F5" s="4" t="s">
        <v>24</v>
      </c>
      <c r="G5" s="4" t="s">
        <v>25</v>
      </c>
      <c r="H5" s="4" t="s">
        <v>21</v>
      </c>
      <c r="I5" s="5">
        <v>1</v>
      </c>
      <c r="J5" s="4">
        <v>2500</v>
      </c>
      <c r="K5" s="4">
        <f t="shared" si="0"/>
        <v>2500</v>
      </c>
    </row>
    <row r="6" spans="1:11" x14ac:dyDescent="0.25">
      <c r="A6" s="2" t="s">
        <v>11</v>
      </c>
      <c r="B6" s="3" t="s">
        <v>12</v>
      </c>
      <c r="C6" s="3" t="s">
        <v>13</v>
      </c>
      <c r="D6" s="3" t="s">
        <v>14</v>
      </c>
      <c r="E6" s="4" t="s">
        <v>15</v>
      </c>
      <c r="F6" s="4" t="s">
        <v>26</v>
      </c>
      <c r="G6" s="4" t="s">
        <v>27</v>
      </c>
      <c r="H6" s="4" t="s">
        <v>21</v>
      </c>
      <c r="I6" s="5">
        <v>4</v>
      </c>
      <c r="J6" s="4">
        <v>795</v>
      </c>
      <c r="K6" s="4">
        <f t="shared" si="0"/>
        <v>3180</v>
      </c>
    </row>
    <row r="7" spans="1:11" x14ac:dyDescent="0.25">
      <c r="A7" s="2" t="s">
        <v>11</v>
      </c>
      <c r="B7" s="3" t="s">
        <v>12</v>
      </c>
      <c r="C7" s="3" t="s">
        <v>13</v>
      </c>
      <c r="D7" s="3" t="s">
        <v>14</v>
      </c>
      <c r="E7" s="4" t="s">
        <v>15</v>
      </c>
      <c r="F7" s="4" t="s">
        <v>28</v>
      </c>
      <c r="G7" s="4" t="s">
        <v>29</v>
      </c>
      <c r="H7" s="4" t="s">
        <v>21</v>
      </c>
      <c r="I7" s="5">
        <v>1.3759999999999999</v>
      </c>
      <c r="J7" s="4">
        <v>2000</v>
      </c>
      <c r="K7" s="4">
        <f t="shared" si="0"/>
        <v>2752</v>
      </c>
    </row>
    <row r="8" spans="1:11" x14ac:dyDescent="0.25">
      <c r="A8" s="2" t="s">
        <v>11</v>
      </c>
      <c r="B8" s="3" t="s">
        <v>12</v>
      </c>
      <c r="C8" s="3" t="s">
        <v>13</v>
      </c>
      <c r="D8" s="3" t="s">
        <v>14</v>
      </c>
      <c r="E8" s="4" t="s">
        <v>15</v>
      </c>
      <c r="F8" s="4" t="s">
        <v>30</v>
      </c>
      <c r="G8" s="4" t="s">
        <v>31</v>
      </c>
      <c r="H8" s="4" t="s">
        <v>16</v>
      </c>
      <c r="I8" s="5">
        <v>92.96</v>
      </c>
      <c r="J8" s="4">
        <v>110</v>
      </c>
      <c r="K8" s="4">
        <f t="shared" si="0"/>
        <v>10225.599999999999</v>
      </c>
    </row>
    <row r="9" spans="1:11" x14ac:dyDescent="0.25">
      <c r="A9" s="2" t="s">
        <v>11</v>
      </c>
      <c r="B9" s="3" t="s">
        <v>12</v>
      </c>
      <c r="C9" s="3" t="s">
        <v>13</v>
      </c>
      <c r="D9" s="3" t="s">
        <v>14</v>
      </c>
      <c r="E9" s="4" t="s">
        <v>15</v>
      </c>
      <c r="F9" s="4" t="s">
        <v>32</v>
      </c>
      <c r="G9" s="4" t="s">
        <v>33</v>
      </c>
      <c r="H9" s="4" t="s">
        <v>21</v>
      </c>
      <c r="I9" s="5">
        <v>2</v>
      </c>
      <c r="J9" s="4">
        <v>124</v>
      </c>
      <c r="K9" s="4">
        <f t="shared" si="0"/>
        <v>248</v>
      </c>
    </row>
    <row r="10" spans="1:11" x14ac:dyDescent="0.25">
      <c r="A10" s="2" t="s">
        <v>11</v>
      </c>
      <c r="B10" s="3" t="s">
        <v>12</v>
      </c>
      <c r="C10" s="3" t="s">
        <v>13</v>
      </c>
      <c r="D10" s="3" t="s">
        <v>14</v>
      </c>
      <c r="E10" s="4" t="s">
        <v>15</v>
      </c>
      <c r="F10" s="4" t="s">
        <v>34</v>
      </c>
      <c r="G10" s="4" t="s">
        <v>35</v>
      </c>
      <c r="H10" s="4" t="s">
        <v>16</v>
      </c>
      <c r="I10" s="5">
        <f>I3+I4</f>
        <v>125.39999999999999</v>
      </c>
      <c r="J10" s="4">
        <v>145</v>
      </c>
      <c r="K10" s="4">
        <f t="shared" si="0"/>
        <v>18183</v>
      </c>
    </row>
    <row r="11" spans="1:11" x14ac:dyDescent="0.25">
      <c r="A11" s="2" t="s">
        <v>11</v>
      </c>
      <c r="B11" s="3" t="s">
        <v>12</v>
      </c>
      <c r="C11" s="3" t="s">
        <v>13</v>
      </c>
      <c r="D11" s="3" t="s">
        <v>14</v>
      </c>
      <c r="E11" s="4" t="s">
        <v>15</v>
      </c>
      <c r="F11" s="4" t="s">
        <v>36</v>
      </c>
      <c r="G11" s="4" t="s">
        <v>37</v>
      </c>
      <c r="H11" s="4" t="s">
        <v>38</v>
      </c>
      <c r="I11" s="5">
        <v>1</v>
      </c>
      <c r="J11" s="4">
        <v>10500</v>
      </c>
      <c r="K11" s="4">
        <f t="shared" si="0"/>
        <v>10500</v>
      </c>
    </row>
    <row r="12" spans="1:11" x14ac:dyDescent="0.25">
      <c r="A12" s="2" t="s">
        <v>11</v>
      </c>
      <c r="B12" s="3" t="s">
        <v>12</v>
      </c>
      <c r="C12" s="3" t="s">
        <v>13</v>
      </c>
      <c r="D12" s="3" t="s">
        <v>14</v>
      </c>
      <c r="E12" s="4" t="s">
        <v>15</v>
      </c>
      <c r="F12" s="5" t="s">
        <v>39</v>
      </c>
      <c r="G12" s="5" t="s">
        <v>40</v>
      </c>
      <c r="H12" s="5" t="s">
        <v>41</v>
      </c>
      <c r="I12" s="5">
        <v>1</v>
      </c>
      <c r="J12" s="5">
        <v>6645</v>
      </c>
      <c r="K12" s="4">
        <f t="shared" si="0"/>
        <v>6645</v>
      </c>
    </row>
    <row r="14" spans="1:11" x14ac:dyDescent="0.25">
      <c r="K14" s="6">
        <f>SUM(K2:K12)</f>
        <v>68584.350000000006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Shaktiraj</dc:creator>
  <cp:lastModifiedBy>Shaktiraj</cp:lastModifiedBy>
  <dcterms:created xsi:type="dcterms:W3CDTF">2023-03-04T11:26:23Z</dcterms:created>
  <dcterms:modified xsi:type="dcterms:W3CDTF">2023-03-04T11:30:45Z</dcterms:modified>
</cp:coreProperties>
</file>