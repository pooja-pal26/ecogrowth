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ebstarct\IN-3158813 COW Mahotsav_2\"/>
    </mc:Choice>
  </mc:AlternateContent>
  <xr:revisionPtr revIDLastSave="0" documentId="13_ncr:1_{2DB317E3-FD80-4B2D-91A7-550D4E320F8C}" xr6:coauthVersionLast="47" xr6:coauthVersionMax="47" xr10:uidLastSave="{00000000-0000-0000-0000-000000000000}"/>
  <bookViews>
    <workbookView xWindow="-120" yWindow="-120" windowWidth="20730" windowHeight="11160" xr2:uid="{A60054C0-11A3-4078-A1AB-991D8F3A7095}"/>
  </bookViews>
  <sheets>
    <sheet name="Sheet1" sheetId="1" r:id="rId1"/>
  </sheets>
  <definedNames>
    <definedName name="_xlnm._FilterDatabase" localSheetId="0" hidden="1">Sheet1!$A$1:$P$77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7" i="1" l="1"/>
  <c r="O56" i="1"/>
  <c r="O54" i="1"/>
  <c r="O40" i="1"/>
  <c r="O32" i="1"/>
  <c r="O6" i="1"/>
  <c r="P57" i="1"/>
  <c r="P47" i="1"/>
  <c r="P46" i="1"/>
  <c r="P27" i="1"/>
  <c r="P26" i="1"/>
  <c r="O47" i="1"/>
  <c r="O46" i="1"/>
  <c r="O27" i="1"/>
  <c r="O26" i="1"/>
  <c r="N77" i="1"/>
  <c r="N76" i="1"/>
  <c r="N75" i="1"/>
  <c r="N74" i="1"/>
  <c r="N73" i="1"/>
  <c r="N72" i="1"/>
  <c r="P72" i="1" s="1"/>
  <c r="N71" i="1"/>
  <c r="N70" i="1"/>
  <c r="N69" i="1"/>
  <c r="N68" i="1"/>
  <c r="P68" i="1" s="1"/>
  <c r="N67" i="1"/>
  <c r="P67" i="1" s="1"/>
  <c r="N66" i="1"/>
  <c r="P66" i="1" s="1"/>
  <c r="N64" i="1"/>
  <c r="N63" i="1"/>
  <c r="P63" i="1" s="1"/>
  <c r="N62" i="1"/>
  <c r="P62" i="1" s="1"/>
  <c r="N61" i="1"/>
  <c r="N60" i="1"/>
  <c r="O60" i="1" s="1"/>
  <c r="N59" i="1"/>
  <c r="N58" i="1"/>
  <c r="P58" i="1" s="1"/>
  <c r="N56" i="1"/>
  <c r="P56" i="1" s="1"/>
  <c r="N55" i="1"/>
  <c r="O55" i="1" s="1"/>
  <c r="N54" i="1"/>
  <c r="P54" i="1" s="1"/>
  <c r="N53" i="1"/>
  <c r="N52" i="1"/>
  <c r="N51" i="1"/>
  <c r="N50" i="1"/>
  <c r="P50" i="1" s="1"/>
  <c r="N49" i="1"/>
  <c r="N48" i="1"/>
  <c r="N45" i="1"/>
  <c r="N44" i="1"/>
  <c r="N43" i="1"/>
  <c r="P43" i="1" s="1"/>
  <c r="N42" i="1"/>
  <c r="P42" i="1" s="1"/>
  <c r="N41" i="1"/>
  <c r="N40" i="1"/>
  <c r="P40" i="1" s="1"/>
  <c r="N39" i="1"/>
  <c r="P39" i="1" s="1"/>
  <c r="N38" i="1"/>
  <c r="O38" i="1" s="1"/>
  <c r="N37" i="1"/>
  <c r="N36" i="1"/>
  <c r="N35" i="1"/>
  <c r="P35" i="1" s="1"/>
  <c r="N34" i="1"/>
  <c r="N33" i="1"/>
  <c r="P33" i="1" s="1"/>
  <c r="N32" i="1"/>
  <c r="P32" i="1" s="1"/>
  <c r="N31" i="1"/>
  <c r="P31" i="1" s="1"/>
  <c r="N30" i="1"/>
  <c r="N29" i="1"/>
  <c r="N28" i="1"/>
  <c r="N25" i="1"/>
  <c r="P25" i="1" s="1"/>
  <c r="N24" i="1"/>
  <c r="P24" i="1" s="1"/>
  <c r="N23" i="1"/>
  <c r="N22" i="1"/>
  <c r="N21" i="1"/>
  <c r="P21" i="1" s="1"/>
  <c r="N20" i="1"/>
  <c r="P20" i="1" s="1"/>
  <c r="N19" i="1"/>
  <c r="P19" i="1" s="1"/>
  <c r="N18" i="1"/>
  <c r="N17" i="1"/>
  <c r="P17" i="1" s="1"/>
  <c r="N16" i="1"/>
  <c r="P16" i="1" s="1"/>
  <c r="N15" i="1"/>
  <c r="P15" i="1" s="1"/>
  <c r="N14" i="1"/>
  <c r="N13" i="1"/>
  <c r="P13" i="1" s="1"/>
  <c r="N12" i="1"/>
  <c r="P12" i="1" s="1"/>
  <c r="N11" i="1"/>
  <c r="N10" i="1"/>
  <c r="P10" i="1" s="1"/>
  <c r="N9" i="1"/>
  <c r="N8" i="1"/>
  <c r="P8" i="1" s="1"/>
  <c r="N7" i="1"/>
  <c r="N6" i="1"/>
  <c r="P6" i="1" s="1"/>
  <c r="N5" i="1"/>
  <c r="O5" i="1" s="1"/>
  <c r="N4" i="1"/>
  <c r="N3" i="1"/>
  <c r="P3" i="1" s="1"/>
  <c r="N2" i="1"/>
  <c r="O33" i="1" l="1"/>
  <c r="O10" i="1"/>
  <c r="O19" i="1"/>
  <c r="O68" i="1"/>
  <c r="P60" i="1"/>
  <c r="O67" i="1"/>
  <c r="O3" i="1"/>
  <c r="P55" i="1"/>
  <c r="O12" i="1"/>
  <c r="O17" i="1"/>
  <c r="O24" i="1"/>
  <c r="O31" i="1"/>
  <c r="O39" i="1"/>
  <c r="P5" i="1"/>
  <c r="P38" i="1"/>
  <c r="O13" i="1"/>
  <c r="O25" i="1"/>
  <c r="O42" i="1"/>
  <c r="O50" i="1"/>
  <c r="O62" i="1"/>
  <c r="O8" i="1"/>
  <c r="O15" i="1"/>
  <c r="O20" i="1"/>
  <c r="O35" i="1"/>
  <c r="O43" i="1"/>
  <c r="O63" i="1"/>
  <c r="O72" i="1"/>
  <c r="O16" i="1"/>
  <c r="O21" i="1"/>
  <c r="O58" i="1"/>
  <c r="O66" i="1"/>
</calcChain>
</file>

<file path=xl/sharedStrings.xml><?xml version="1.0" encoding="utf-8"?>
<sst xmlns="http://schemas.openxmlformats.org/spreadsheetml/2006/main" count="386" uniqueCount="181">
  <si>
    <t>Line</t>
  </si>
  <si>
    <t>Type</t>
  </si>
  <si>
    <t>Item/Job</t>
  </si>
  <si>
    <t>Description</t>
  </si>
  <si>
    <t>UOM</t>
  </si>
  <si>
    <t>Qty</t>
  </si>
  <si>
    <t>Price</t>
  </si>
  <si>
    <t>Amount</t>
  </si>
  <si>
    <t>Task Name</t>
  </si>
  <si>
    <t>Goods</t>
  </si>
  <si>
    <t>25-100000-0-00-ZZ-ZZ-AM9</t>
  </si>
  <si>
    <t>Excavation in all types of soils by Mechanized Methods,(As per Indus Standards and Guidelines)</t>
  </si>
  <si>
    <t>CUBIC METER</t>
  </si>
  <si>
    <t>Civil Work</t>
  </si>
  <si>
    <t>Each</t>
  </si>
  <si>
    <t>Other Services &amp;Lots</t>
  </si>
  <si>
    <t>Po</t>
  </si>
  <si>
    <t>C1</t>
  </si>
  <si>
    <t>C3</t>
  </si>
  <si>
    <t>E1</t>
  </si>
  <si>
    <t>Total</t>
  </si>
  <si>
    <t>21-600000-0-00-ZZ-ZZ-706</t>
  </si>
  <si>
    <t>Installation, Commissioning &amp; Testing of SMPS,(As per Indus Standards and Guidelines)</t>
  </si>
  <si>
    <t>SMPS</t>
  </si>
  <si>
    <t>22-210A30-0-03-ZZ-ZZ-000</t>
  </si>
  <si>
    <t>Supply &amp; Laying of Cable,16 Sq MM,4 Core,Copper Armoured Multi strand HRFR, Version 3.0 incldg Termination with Lugs, Saddles, Cable ties, Insulation tape, Glands &amp; other installation accessories as per Indus Standard Guidelines</t>
  </si>
  <si>
    <t>Meter</t>
  </si>
  <si>
    <t>22-210830-0-03-ZZ-ZZ-000</t>
  </si>
  <si>
    <t>Supply &amp; Laying of Cable,16 Sq MM,2 Core,Copper Armoured Multi strand HRFR, Version 3.0 incldg Termination with Lugs, Saddles, Cable ties, Insulation tape, Glands &amp; other installation accessories as per Indus Standard Guidelines</t>
  </si>
  <si>
    <t>22-210560-0-03-ZZ-ZZ-000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</si>
  <si>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</si>
  <si>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22-208830-0-03-ZZ-ZZ-000</t>
  </si>
  <si>
    <t>Supply &amp; Laying of Cable,10 Sq MM,2 Core,Copper Armoured Multi strand HRFR, Version 3.0 incldg Termination with Lugs, Saddles, Cable ties, Insulation tape, Glands &amp; other installation accessories as per Indus Standard Guidelines</t>
  </si>
  <si>
    <t>22-204B30-0-03-ZZ-ZZ-000</t>
  </si>
  <si>
    <t>Supply &amp; Laying of Cable,1.5 Sq MM,12 Core,Copper Armoured Multi strand HRFR, Version 3.0 incldg Termination with Lugs, Saddles, Cable ties, Insulation tape, Glands &amp; other installation accessories as per Indus Standard Guidelines</t>
  </si>
  <si>
    <t>22-201240-0-03-ZZ-ZZ-000</t>
  </si>
  <si>
    <t>Supply &amp; Laying of Cable,0.5 MM Dia,5 Pair,Annealed Tinned Copper single strand armoured(FRLS), Version 3.0 incldg Termination with Lugs, Saddles, Cable ties, Insulation tape, Glands &amp; other installation accessories</t>
  </si>
  <si>
    <t>22-201250-0-03-ZZ-ZZ-000</t>
  </si>
  <si>
    <t>Supply &amp; Laying of Cable,0.5 MM Dia,5 Pair,Annealed Tinned Copper single strand Unarmoured(FRLS), Version 3.0 incldg Termination with Lugs, Saddles, Cable ties, Insulation tape, Glands &amp; other installation accessories</t>
  </si>
  <si>
    <t>22-201340-0-03-ZZ-ZZ-000</t>
  </si>
  <si>
    <t>Supply &amp; Laying of Cable,0.5 MM Dia,10 Pair,Annealed Tinned Copper single strand armoured(FRLS), Version 3.0 incldg Termination with Lugs, Saddles, Cable ties, Insulation tape, Glands &amp; other installation accessories</t>
  </si>
  <si>
    <t>22-600000-0-00-ZZ-ZZ-848</t>
  </si>
  <si>
    <t>Installation and Commisioning of SPD Box including end termination of cables (As per Indus Standards and Guidelines)</t>
  </si>
  <si>
    <t>Tower</t>
  </si>
  <si>
    <t>22-440000-0-00-ZZ-ZZ-169</t>
  </si>
  <si>
    <t>Installation &amp; Commissioning,Maintenance Free Chemical Earthing</t>
  </si>
  <si>
    <t>22-500000-0-00-ZZ-ZZ-707</t>
  </si>
  <si>
    <t>Fixing of Aviation Lamp,(As per Indus Standards and Guidelines)</t>
  </si>
  <si>
    <t>Electrical Work</t>
  </si>
  <si>
    <t>22-435000-0-00-ZZ-ZZ-654</t>
  </si>
  <si>
    <t>Earthing,GI strip (25x3) mm with all installation accessories,(As per Indus Standards and Guidelines)</t>
  </si>
  <si>
    <t>21-D00000-0-00-ZZ-ZZ-705</t>
  </si>
  <si>
    <t>Installation, Grouting, Earthing &amp; Commissioning &amp; OD TX Rack,(As per Indus Standards and Guidelines)</t>
  </si>
  <si>
    <t>Tx Rack</t>
  </si>
  <si>
    <t>21-320400-0-00-ZZ-ZZ-064</t>
  </si>
  <si>
    <t>Installation, DCDB, 8 way, (Indoor/Outdoor) installation charges including laying of cables and all accessories (bolts used for DCDB, cable ties etc.)</t>
  </si>
  <si>
    <t>12-411000-0-01-ZZ-ZZ-000</t>
  </si>
  <si>
    <t>Earthing, IGB - Copper Busbar , 300x75x3 with all installation accessories, Version 1.0</t>
  </si>
  <si>
    <t>12-422000-0-01-ZZ-ZZ-000</t>
  </si>
  <si>
    <t>Earthing, EGB GI Busbar, 300x150x6 with all installation accessories, Version 1.0</t>
  </si>
  <si>
    <t>12-C00000-C-00-ZZ-ZZ-162</t>
  </si>
  <si>
    <t>Conduit/Pipe - PVC 40 mm - Capex</t>
  </si>
  <si>
    <t>12-C00000-0-01-ZZ-ZZ-012</t>
  </si>
  <si>
    <t>Conduit - PVC 32 mm Flexible (ISI Mark),Version 1.0</t>
  </si>
  <si>
    <t>25-210000-0-00-ZZ-ZZ-262</t>
  </si>
  <si>
    <t>Brick work with bricks class designation-105, in foundation up to DPC level in mortar mix 1:4(1 cement: 6-coarse sand) including all materials, labour, tools &amp; plants etc. required for proper completion of work with minimum 6-days curing.</t>
  </si>
  <si>
    <t>25-100000-0-00-ZZ-ZZ-720</t>
  </si>
  <si>
    <t>Brick / Stone Soling,(As per Indus Standards and Guidelines)</t>
  </si>
  <si>
    <t>2A-600000-C-00-ZZ-ZZ-168</t>
  </si>
  <si>
    <t>Alarm termination Charges - Capex</t>
  </si>
  <si>
    <t>12-900000-0-01-ZZ-ZZ-020</t>
  </si>
  <si>
    <t>5/15 Amps Switch &amp; Socket Assembly - OD Type,Version 1.0</t>
  </si>
  <si>
    <t>2D-600000-0-00-ZZ-ZZ-650</t>
  </si>
  <si>
    <t>Water Charges (Tankar Capacity-2000 ltrs)</t>
  </si>
  <si>
    <t>29-400000-0-00-ZZ-ZZ-885</t>
  </si>
  <si>
    <t>Transportation from Indus WH to site for NB site with DG including unloading of material at Ground floor of site</t>
  </si>
  <si>
    <t>25-1B0000-0-00-ZZ-ZZ-477</t>
  </si>
  <si>
    <t>Supply and filling with fine/Yamuna sand in plinth under the floors in a layer of 15-20cms including watering, ramming, consolidating and dressing complete.</t>
  </si>
  <si>
    <t>25-100000-0-00-ZZ-ZZ-742</t>
  </si>
  <si>
    <t>Mechanical anchoring for M16 anchor bolt,(As per Indus Standards and Guidelines)</t>
  </si>
  <si>
    <t>14-200800-0-01-ZZ-ZZ-000</t>
  </si>
  <si>
    <t>MS Ladder and Platform,Version 1.0</t>
  </si>
  <si>
    <t>Kilogram</t>
  </si>
  <si>
    <t>Shelter</t>
  </si>
  <si>
    <t>12-1242E9-C-00-ZZ-ZZ-000</t>
  </si>
  <si>
    <t>MCCB,100A,4 Pole,25KA,Magnetic Thermal Release Including Spreader Links,compliant with IS 13947(Part 2):1993/ IEC-60947-2, Capex</t>
  </si>
  <si>
    <t>Other Matl. (Serial)</t>
  </si>
  <si>
    <t>12-120000-0-00-ZZ-ZZ-001</t>
  </si>
  <si>
    <t>MCCB Box</t>
  </si>
  <si>
    <t>12-114027-0-00-ZZ-ZZ-000</t>
  </si>
  <si>
    <t>MCB,63A,4 Pole,C Curve</t>
  </si>
  <si>
    <t>12-111027-0-00-ZZ-ZZ-000</t>
  </si>
  <si>
    <t>MCB,63A,1 Pole,10KA,C Curve compliant with IS 13947(Part 2):1993/ IEC-60947-2</t>
  </si>
  <si>
    <t>12-111026-0-00-ZZ-ZZ-000</t>
  </si>
  <si>
    <t>MCB,40A,1 Pole,C Curve</t>
  </si>
  <si>
    <t>12-111025-0-00-ZZ-ZZ-000</t>
  </si>
  <si>
    <t>MCB,32A,1 Pole,C Curve</t>
  </si>
  <si>
    <t>12-111123-0-00-ZZ-ZZ-000</t>
  </si>
  <si>
    <t>MCB,16A,1 Pole,10KA,C Curve</t>
  </si>
  <si>
    <t>12-900000-0-01-ZZ-ZZ-026</t>
  </si>
  <si>
    <t>Krone BOX, 10 PAIR, Indoor,Version 1.0</t>
  </si>
  <si>
    <t>28-600000-C-00-ZZ-ZZ-001</t>
  </si>
  <si>
    <t>Installation,Signage Board - Capex</t>
  </si>
  <si>
    <t>24-200000-0-00-ZZ-ZZ-147</t>
  </si>
  <si>
    <t>Installation,CABLE TRAY</t>
  </si>
  <si>
    <t>21-310000-0-00-ZZ-ZZ-147</t>
  </si>
  <si>
    <t>Installation,ACDB</t>
  </si>
  <si>
    <t>21-3A0000-0-00-ZZ-ZZ-713</t>
  </si>
  <si>
    <t>Installation, Grouting, Earthing,Commsioning,testing including end termination of power cables using glands and lugs including coordination with Panel OEM - Simple Power Solution,(As per Indus Standards and Guidelines)</t>
  </si>
  <si>
    <t>24-500000-0-00-ZZ-ZZ-704</t>
  </si>
  <si>
    <t>Installation, Grouting, Earthing and Commissioning of OD BB Cabinet,(As per Indus Standards and Guidelines)</t>
  </si>
  <si>
    <t>Battery</t>
  </si>
  <si>
    <t>21-390000-0-00-ZZ-ZZ-712</t>
  </si>
  <si>
    <t>Installation, Grouting, Earthing Commisioning testing of Power Panel -SP including end termination of power cables using glands and lugs including coordination with Panel OEM,(As per Indus Standards and Guidelines)</t>
  </si>
  <si>
    <t>22-610000-0-00-ZZ-ZZ-469</t>
  </si>
  <si>
    <t>Supply &amp; Installation Charges,Lightening Arrestor,Lightening Protection</t>
  </si>
  <si>
    <t>2E-500000-0-00-ZZ-ZZ-787</t>
  </si>
  <si>
    <t>Site security during site construction for upto 2 months on 24 hours guarding basis</t>
  </si>
  <si>
    <t>29-100000-0-00-ZZ-ZZ-768</t>
  </si>
  <si>
    <t>Project Management Charges - Ground Based Site</t>
  </si>
  <si>
    <t>25-100000-0-00-ZZ-ZZ-722</t>
  </si>
  <si>
    <t>Plain Cement Concrete - M10 grade (1:3:6),(As per Indus Standards and Guidelines)</t>
  </si>
  <si>
    <t>12-C00000-0-01-ZZ-ZZ-046</t>
  </si>
  <si>
    <t>PVC Flexible Conduit- Steel reinforced dia 0.5",Version 1.0</t>
  </si>
  <si>
    <t>12-C00000-0-01-ZZ-ZZ-136</t>
  </si>
  <si>
    <t>PLB HDPE Pipe - OD 40mm, 3.5mm Thk (For OFC Duct),Version 1.0</t>
  </si>
  <si>
    <t>24-900000-C-00-ZZ-ZZ-F08</t>
  </si>
  <si>
    <t>Mount Installation Charges per mount (for 1st mount per site, Only 1 quantity allowed) - Capex</t>
  </si>
  <si>
    <t>24-900000-C-00-ZZ-ZZ-F09</t>
  </si>
  <si>
    <t>Mount Installation Charges per mount (For &gt;=2 mount per site only, not applicable for 1st mount installation) - Capex</t>
  </si>
  <si>
    <t>14-600000-0-01-ZZ-ZZ-868</t>
  </si>
  <si>
    <t>Supply and Installation of Hilti HIT-V &amp; HY200R or Equivalent Mortar based Chemical Anchor bolt 5.8 grade, M10X113</t>
  </si>
  <si>
    <t>22-214760-0-03-ZZ-ZZ-000</t>
  </si>
  <si>
    <t>Supply &amp; Laying of Cable,70 Sq MM,1 Core Red,Copper Unarmoured Multi strand HRFR, Version 3.0 incldg Termination with Lugs, Saddles, Cable ties, Insulation tape, Glands &amp; other installation accessories as per Indus Standard Guidelines</t>
  </si>
  <si>
    <t>22-214660-0-03-ZZ-ZZ-000</t>
  </si>
  <si>
    <t>Supply &amp; Laying of Cable,70 Sq MM,1 Core Black,Copper Unarmoured Multi strand HRFR, Version 3.0 incldg Termination with Lugs, Saddles, Cable ties, Insulation tape, Glands &amp; other installation accessories as per Indus Standard Guidelines</t>
  </si>
  <si>
    <t>22-207830-0-03-ZZ-ZZ-000</t>
  </si>
  <si>
    <t>Supply &amp; Laying of Cable,6 Sq MM,2 Core,Copper Armoured Multi strand HRFR, Version 3.0 incldg Termination with Lugs, Saddles, Cable ties, Insulation tape, Glands &amp; other installation accessories as per Indus Standard Guidelines</t>
  </si>
  <si>
    <t>22-212AP0-0-03-ZZ-ZZ-000</t>
  </si>
  <si>
    <t>Supply &amp; Laying of Cable,35 Sq MM,4 Core,Aluminum Armoured, HRFR, Version 3.0 incldg Termination with Lugs, Saddles, Cable ties, Insulation tape, Glands &amp; other installation accessories as per Indus Standard Guidelines</t>
  </si>
  <si>
    <t>22-2128P0-0-03-ZZ-ZZ-000</t>
  </si>
  <si>
    <t>Supply &amp; Laying of Cable,35 Sq MM,2 Core,Aluminum Armoured, HRFR, Version 3.0 incldg Termination with Lugs, Saddles, Cable ties, Insulation tape, Glands &amp; other installation accessories as per Indus Standard Guidelines</t>
  </si>
  <si>
    <t>22-211A30-0-03-ZZ-ZZ-000</t>
  </si>
  <si>
    <t>Supply &amp; Laying of Cable,25 Sq MM,4 Core,Copper Armoured Multi strand HRFR, Version 3.0 incldg Termination with Lugs, Saddles, Cable ties, Insulation tape, Glands &amp; other installation accessories as per Indus Standard Guidelines</t>
  </si>
  <si>
    <t>22-211AP0-0-03-ZZ-ZZ-000</t>
  </si>
  <si>
    <t>Supply &amp; Laying of Cable,25 Sq MM,4 Core,Aluminum Armoured, HRFR, Version 3.0 incldg Termination with Lugs, Saddles, Cable ties, Insulation tape, Glands &amp; other installation accessories as per Indus Standard Guidelines</t>
  </si>
  <si>
    <t>22-211660-0-03-ZZ-ZZ-000</t>
  </si>
  <si>
    <t>Supply &amp; Laying of Cable,25 Sq MM,1 Core Black,Copper Unarmoured Multi strand HRFR, Version 3.0 incldg Termination with Lugs, Saddles, Cable ties, Insulation tape, Glands &amp; other installation accessories</t>
  </si>
  <si>
    <t>22-205930-0-03-ZZ-ZZ-000</t>
  </si>
  <si>
    <t>Supply &amp; Laying of Cable,2.5 Sq MM,3 Core,Copper Armoured Multi strand HRFR, Version 3.0 incldg Termination with Lugs, Saddles, Cable ties, Insulation tape, Glands &amp; other installation accessories as per Indus Standard Guidelines</t>
  </si>
  <si>
    <t>22-205830-0-03-ZZ-ZZ-000</t>
  </si>
  <si>
    <t>Supply &amp; Laying of Cable,2.5 Sq MM,2 Core,Copper Armoured Multi strand HRFR, Version 3.0 incldg Termination with Lugs, Saddles, Cable ties, Insulation tape, Glands &amp; other installation accessories as per Indus Standard Guidelines</t>
  </si>
  <si>
    <t>22-210860-0-03-ZZ-ZZ-000</t>
  </si>
  <si>
    <t>Supply &amp; Laying of Cable,16 Sq MM,2 Core,Copper Unarmoured Multi strand HRFR, Version 3.0 incldg Termination with Lugs, Saddles, Cable ties, Insulation tape, Glands &amp; other installation accessories as per Indus Standard Guidelines</t>
  </si>
  <si>
    <t>2D-300000-0-00-ZZ-ZZ-817</t>
  </si>
  <si>
    <t>Supply &amp; Installation of enamel painted structural steel members - (Steel grade FY250)</t>
  </si>
  <si>
    <t>24-600000-0-00-ZZ-ZZ-604</t>
  </si>
  <si>
    <t>Door &amp; Window Fitting Charges - Lock 7-liver (link,plaza,harison make)</t>
  </si>
  <si>
    <t>25-100000-0-00-ZZ-ZZ-AN2</t>
  </si>
  <si>
    <t>Excavation in all types of soils by Manual Methods,(As per Indus Standards and Guidelines)</t>
  </si>
  <si>
    <t>25-100000-0-00-ZZ-ZZ-725</t>
  </si>
  <si>
    <t>Reinforced Cement Concrete - M 25 grade (1:1:2) excluding reinforcement steel,(As per Indus Standards and Guidelines)</t>
  </si>
  <si>
    <t>25-620000-0-00-ZZ-ZZ-274</t>
  </si>
  <si>
    <t>P&amp;L 2-coats of Enamel paint(White/Black) over 1-coat of base primer including cleaning of surface with sand paper to remove the dirt, dust &amp; rust etc. Make -- BERGER / SHALIMAR / ASIAN / NEROLAC.</t>
  </si>
  <si>
    <t>Sq. Meter</t>
  </si>
  <si>
    <t>2M-300000-0-00-ZZ-ZZ-006</t>
  </si>
  <si>
    <t>22-300000-C-00-ZZ-ZZ-A17</t>
  </si>
  <si>
    <t>12-154067-0-00-ZZ-ZZ-000</t>
  </si>
  <si>
    <t>12-900000-0-01-ZZ-ZZ-024</t>
  </si>
  <si>
    <t>2B-300000-0-00-ZZ-ZZ-473</t>
  </si>
  <si>
    <t>Services for Trenching, Ducting and back filling (Restoration) as per INDUS Specifications in any road with HDD</t>
  </si>
  <si>
    <t>Installation charges of Meter Box - Capex</t>
  </si>
  <si>
    <t>ELCB,63A,4 Pole,30 mA</t>
  </si>
  <si>
    <t>Mounting Frame for EB Meter Box,Version 1.0</t>
  </si>
  <si>
    <t>Supply of EB Material for Line Erection - Installation</t>
  </si>
  <si>
    <t>EB Cost</t>
  </si>
  <si>
    <t>12-433000-0-01-ZZ-ZZ-000</t>
  </si>
  <si>
    <t>Earthing,GI strip,50x6 with all installation accessories,Version 1.0</t>
  </si>
  <si>
    <t>21-51E000-0-00-ZZ-ZZ-169</t>
  </si>
  <si>
    <t>Installation &amp; Commissioning,Diesel - Generator,30 KVA,(10KVA, 15 KVA, 25 KVA, 30 KVA DG Sets)</t>
  </si>
  <si>
    <t>134+6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</si>
</sst>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1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D53A-1018-4F63-B4E9-4E078A693C63}">
  <sheetPr filterMode="1"/>
  <dimension ref="A1:P77"/>
  <sheetViews>
    <sheetView tabSelected="1" workbookViewId="0">
      <pane ySplit="1" topLeftCell="A3" activePane="bottomLeft" state="frozen"/>
      <selection activeCell="E1" sqref="E1"/>
      <selection pane="bottomLeft" activeCell="D66" sqref="D66"/>
    </sheetView>
  </sheetViews>
  <sheetFormatPr defaultRowHeight="15" x14ac:dyDescent="0.25"/>
  <cols>
    <col min="1" max="1" width="12" style="2" bestFit="1" customWidth="1"/>
    <col min="2" max="2" width="4.7109375" bestFit="1" customWidth="1"/>
    <col min="3" max="3" width="6.5703125" bestFit="1" customWidth="1"/>
    <col min="4" max="4" width="24.7109375" bestFit="1" customWidth="1"/>
    <col min="5" max="5" width="48.140625" customWidth="1"/>
    <col min="6" max="6" width="12.5703125" bestFit="1" customWidth="1"/>
    <col min="7" max="7" width="4.140625" bestFit="1" customWidth="1"/>
    <col min="8" max="8" width="7.7109375" bestFit="1" customWidth="1"/>
    <col min="9" max="9" width="8.140625" bestFit="1" customWidth="1"/>
    <col min="10" max="10" width="19.5703125" bestFit="1" customWidth="1"/>
  </cols>
  <sheetData>
    <row r="1" spans="1:16" ht="18.75" customHeight="1" x14ac:dyDescent="0.25">
      <c r="A1" s="4" t="s">
        <v>16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4" t="s">
        <v>17</v>
      </c>
      <c r="L1" s="4" t="s">
        <v>18</v>
      </c>
      <c r="M1" s="4" t="s">
        <v>19</v>
      </c>
      <c r="N1" s="4" t="s">
        <v>20</v>
      </c>
    </row>
    <row r="2" spans="1:16" hidden="1" x14ac:dyDescent="0.25">
      <c r="A2" s="1">
        <v>14030262421</v>
      </c>
      <c r="B2" s="1">
        <v>2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75</v>
      </c>
      <c r="H2" s="1">
        <v>130</v>
      </c>
      <c r="I2" s="1">
        <v>9750</v>
      </c>
      <c r="J2" s="1" t="s">
        <v>13</v>
      </c>
      <c r="K2" s="1"/>
      <c r="L2" s="1"/>
      <c r="M2" s="8"/>
      <c r="N2" s="1">
        <f>SUM(K2:M2)</f>
        <v>0</v>
      </c>
      <c r="O2" s="2"/>
    </row>
    <row r="3" spans="1:16" hidden="1" x14ac:dyDescent="0.25">
      <c r="A3" s="1">
        <v>14030262659</v>
      </c>
      <c r="B3" s="1">
        <v>16</v>
      </c>
      <c r="C3" s="1" t="s">
        <v>9</v>
      </c>
      <c r="D3" s="1" t="s">
        <v>21</v>
      </c>
      <c r="E3" s="10" t="s">
        <v>22</v>
      </c>
      <c r="F3" s="1" t="s">
        <v>14</v>
      </c>
      <c r="G3" s="1">
        <v>1</v>
      </c>
      <c r="H3" s="1">
        <v>1200</v>
      </c>
      <c r="I3" s="1">
        <v>1200</v>
      </c>
      <c r="J3" s="1" t="s">
        <v>23</v>
      </c>
      <c r="K3" s="1"/>
      <c r="L3" s="1"/>
      <c r="M3" s="6">
        <v>1</v>
      </c>
      <c r="N3" s="1">
        <f t="shared" ref="N3:N66" si="0">SUM(K3:M3)</f>
        <v>1</v>
      </c>
      <c r="O3">
        <f>H3*N3</f>
        <v>1200</v>
      </c>
      <c r="P3">
        <f>G3-N3</f>
        <v>0</v>
      </c>
    </row>
    <row r="4" spans="1:16" hidden="1" x14ac:dyDescent="0.25">
      <c r="A4" s="1">
        <v>14030262659</v>
      </c>
      <c r="B4" s="1">
        <v>7</v>
      </c>
      <c r="C4" s="1" t="s">
        <v>9</v>
      </c>
      <c r="D4" s="1" t="s">
        <v>24</v>
      </c>
      <c r="E4" s="1" t="s">
        <v>25</v>
      </c>
      <c r="F4" s="1" t="s">
        <v>26</v>
      </c>
      <c r="G4" s="1">
        <v>2</v>
      </c>
      <c r="H4" s="1">
        <v>795</v>
      </c>
      <c r="I4" s="1">
        <v>1590</v>
      </c>
      <c r="J4" s="1" t="s">
        <v>13</v>
      </c>
      <c r="K4" s="1"/>
      <c r="L4" s="1"/>
      <c r="M4" s="8"/>
      <c r="N4" s="1">
        <f t="shared" si="0"/>
        <v>0</v>
      </c>
    </row>
    <row r="5" spans="1:16" hidden="1" x14ac:dyDescent="0.25">
      <c r="A5" s="1">
        <v>14030262659</v>
      </c>
      <c r="B5" s="1">
        <v>60</v>
      </c>
      <c r="C5" s="1" t="s">
        <v>9</v>
      </c>
      <c r="D5" s="1" t="s">
        <v>27</v>
      </c>
      <c r="E5" s="10" t="s">
        <v>28</v>
      </c>
      <c r="F5" s="1" t="s">
        <v>26</v>
      </c>
      <c r="G5" s="1">
        <v>15</v>
      </c>
      <c r="H5" s="1">
        <v>416</v>
      </c>
      <c r="I5" s="1">
        <v>6240</v>
      </c>
      <c r="J5" s="1" t="s">
        <v>13</v>
      </c>
      <c r="K5" s="1"/>
      <c r="L5" s="1"/>
      <c r="M5" s="6">
        <v>7</v>
      </c>
      <c r="N5" s="1">
        <f t="shared" si="0"/>
        <v>7</v>
      </c>
      <c r="O5">
        <f t="shared" ref="O5:O6" si="1">H5*N5</f>
        <v>2912</v>
      </c>
      <c r="P5">
        <f t="shared" ref="P5:P6" si="2">G5-N5</f>
        <v>8</v>
      </c>
    </row>
    <row r="6" spans="1:16" hidden="1" x14ac:dyDescent="0.25">
      <c r="A6" s="1">
        <v>14030262659</v>
      </c>
      <c r="B6" s="1">
        <v>59</v>
      </c>
      <c r="C6" s="1" t="s">
        <v>9</v>
      </c>
      <c r="D6" s="1" t="s">
        <v>29</v>
      </c>
      <c r="E6" s="10" t="s">
        <v>30</v>
      </c>
      <c r="F6" s="1" t="s">
        <v>26</v>
      </c>
      <c r="G6" s="1">
        <v>55</v>
      </c>
      <c r="H6" s="1">
        <v>163</v>
      </c>
      <c r="I6" s="1">
        <v>8965</v>
      </c>
      <c r="J6" s="1" t="s">
        <v>13</v>
      </c>
      <c r="K6" s="1"/>
      <c r="L6" s="1"/>
      <c r="M6" s="6">
        <v>60.5</v>
      </c>
      <c r="N6" s="1">
        <f t="shared" si="0"/>
        <v>60.5</v>
      </c>
      <c r="O6">
        <f>H6*G6</f>
        <v>8965</v>
      </c>
      <c r="P6">
        <f t="shared" si="2"/>
        <v>-5.5</v>
      </c>
    </row>
    <row r="7" spans="1:16" hidden="1" x14ac:dyDescent="0.25">
      <c r="A7" s="1">
        <v>14030262659</v>
      </c>
      <c r="B7" s="1">
        <v>8</v>
      </c>
      <c r="C7" s="1" t="s">
        <v>9</v>
      </c>
      <c r="D7" s="1" t="s">
        <v>31</v>
      </c>
      <c r="E7" s="1" t="s">
        <v>32</v>
      </c>
      <c r="F7" s="1" t="s">
        <v>26</v>
      </c>
      <c r="G7" s="1">
        <v>15</v>
      </c>
      <c r="H7" s="1">
        <v>310</v>
      </c>
      <c r="I7" s="1">
        <v>4650</v>
      </c>
      <c r="J7" s="1" t="s">
        <v>13</v>
      </c>
      <c r="K7" s="1"/>
      <c r="L7" s="1"/>
      <c r="M7" s="8"/>
      <c r="N7" s="1">
        <f t="shared" si="0"/>
        <v>0</v>
      </c>
    </row>
    <row r="8" spans="1:16" hidden="1" x14ac:dyDescent="0.25">
      <c r="A8" s="1">
        <v>14030262659</v>
      </c>
      <c r="B8" s="1">
        <v>9</v>
      </c>
      <c r="C8" s="1" t="s">
        <v>9</v>
      </c>
      <c r="D8" s="1" t="s">
        <v>33</v>
      </c>
      <c r="E8" s="10" t="s">
        <v>34</v>
      </c>
      <c r="F8" s="1" t="s">
        <v>26</v>
      </c>
      <c r="G8" s="1">
        <v>15</v>
      </c>
      <c r="H8" s="1">
        <v>286</v>
      </c>
      <c r="I8" s="1">
        <v>4290</v>
      </c>
      <c r="J8" s="1" t="s">
        <v>13</v>
      </c>
      <c r="K8" s="1"/>
      <c r="L8" s="1"/>
      <c r="M8" s="6">
        <v>5</v>
      </c>
      <c r="N8" s="1">
        <f t="shared" si="0"/>
        <v>5</v>
      </c>
      <c r="O8">
        <f>H8*N8</f>
        <v>1430</v>
      </c>
      <c r="P8">
        <f>G8-N8</f>
        <v>10</v>
      </c>
    </row>
    <row r="9" spans="1:16" hidden="1" x14ac:dyDescent="0.25">
      <c r="A9" s="1">
        <v>14030262659</v>
      </c>
      <c r="B9" s="1">
        <v>3</v>
      </c>
      <c r="C9" s="1" t="s">
        <v>9</v>
      </c>
      <c r="D9" s="1" t="s">
        <v>35</v>
      </c>
      <c r="E9" s="1" t="s">
        <v>36</v>
      </c>
      <c r="F9" s="1" t="s">
        <v>26</v>
      </c>
      <c r="G9" s="1">
        <v>20</v>
      </c>
      <c r="H9" s="1">
        <v>34</v>
      </c>
      <c r="I9" s="1">
        <v>680</v>
      </c>
      <c r="J9" s="1" t="s">
        <v>13</v>
      </c>
      <c r="K9" s="1"/>
      <c r="L9" s="1"/>
      <c r="M9" s="8"/>
      <c r="N9" s="1">
        <f t="shared" si="0"/>
        <v>0</v>
      </c>
    </row>
    <row r="10" spans="1:16" hidden="1" x14ac:dyDescent="0.25">
      <c r="A10" s="1">
        <v>14030262659</v>
      </c>
      <c r="B10" s="1">
        <v>1</v>
      </c>
      <c r="C10" s="1" t="s">
        <v>9</v>
      </c>
      <c r="D10" s="1" t="s">
        <v>37</v>
      </c>
      <c r="E10" s="10" t="s">
        <v>38</v>
      </c>
      <c r="F10" s="1" t="s">
        <v>26</v>
      </c>
      <c r="G10" s="1">
        <v>20</v>
      </c>
      <c r="H10" s="1">
        <v>20</v>
      </c>
      <c r="I10" s="1">
        <v>400</v>
      </c>
      <c r="J10" s="1" t="s">
        <v>13</v>
      </c>
      <c r="K10" s="1"/>
      <c r="L10" s="1"/>
      <c r="M10" s="6">
        <v>12</v>
      </c>
      <c r="N10" s="1">
        <f t="shared" si="0"/>
        <v>12</v>
      </c>
      <c r="O10">
        <f>H10*N10</f>
        <v>240</v>
      </c>
      <c r="P10">
        <f>G10-N10</f>
        <v>8</v>
      </c>
    </row>
    <row r="11" spans="1:16" hidden="1" x14ac:dyDescent="0.25">
      <c r="A11" s="1">
        <v>14030262659</v>
      </c>
      <c r="B11" s="1">
        <v>2</v>
      </c>
      <c r="C11" s="1" t="s">
        <v>9</v>
      </c>
      <c r="D11" s="1" t="s">
        <v>39</v>
      </c>
      <c r="E11" s="1" t="s">
        <v>40</v>
      </c>
      <c r="F11" s="1" t="s">
        <v>26</v>
      </c>
      <c r="G11" s="1">
        <v>20</v>
      </c>
      <c r="H11" s="1">
        <v>65</v>
      </c>
      <c r="I11" s="1">
        <v>1300</v>
      </c>
      <c r="J11" s="1" t="s">
        <v>13</v>
      </c>
      <c r="K11" s="1"/>
      <c r="L11" s="1"/>
      <c r="M11" s="8"/>
      <c r="N11" s="1">
        <f t="shared" si="0"/>
        <v>0</v>
      </c>
    </row>
    <row r="12" spans="1:16" hidden="1" x14ac:dyDescent="0.25">
      <c r="A12" s="1">
        <v>14030262659</v>
      </c>
      <c r="B12" s="1">
        <v>14</v>
      </c>
      <c r="C12" s="1" t="s">
        <v>9</v>
      </c>
      <c r="D12" s="1" t="s">
        <v>41</v>
      </c>
      <c r="E12" s="10" t="s">
        <v>42</v>
      </c>
      <c r="F12" s="1" t="s">
        <v>14</v>
      </c>
      <c r="G12" s="1">
        <v>1</v>
      </c>
      <c r="H12" s="1">
        <v>500</v>
      </c>
      <c r="I12" s="1">
        <v>500</v>
      </c>
      <c r="J12" s="1" t="s">
        <v>43</v>
      </c>
      <c r="K12" s="1"/>
      <c r="L12" s="1"/>
      <c r="M12" s="6">
        <v>1</v>
      </c>
      <c r="N12" s="1">
        <f t="shared" si="0"/>
        <v>1</v>
      </c>
      <c r="O12">
        <f t="shared" ref="O12:O13" si="3">H12*N12</f>
        <v>500</v>
      </c>
      <c r="P12">
        <f t="shared" ref="P12:P13" si="4">G12-N12</f>
        <v>0</v>
      </c>
    </row>
    <row r="13" spans="1:16" hidden="1" x14ac:dyDescent="0.25">
      <c r="A13" s="1">
        <v>14030262659</v>
      </c>
      <c r="B13" s="1">
        <v>17</v>
      </c>
      <c r="C13" s="1" t="s">
        <v>9</v>
      </c>
      <c r="D13" s="1" t="s">
        <v>44</v>
      </c>
      <c r="E13" s="10" t="s">
        <v>45</v>
      </c>
      <c r="F13" s="1" t="s">
        <v>14</v>
      </c>
      <c r="G13" s="1">
        <v>2</v>
      </c>
      <c r="H13" s="1">
        <v>2000</v>
      </c>
      <c r="I13" s="1">
        <v>4000</v>
      </c>
      <c r="J13" s="1" t="s">
        <v>13</v>
      </c>
      <c r="K13" s="1"/>
      <c r="L13" s="6">
        <v>2</v>
      </c>
      <c r="M13" s="8"/>
      <c r="N13" s="1">
        <f t="shared" si="0"/>
        <v>2</v>
      </c>
      <c r="O13">
        <f t="shared" si="3"/>
        <v>4000</v>
      </c>
      <c r="P13">
        <f t="shared" si="4"/>
        <v>0</v>
      </c>
    </row>
    <row r="14" spans="1:16" hidden="1" x14ac:dyDescent="0.25">
      <c r="A14" s="1">
        <v>14030262659</v>
      </c>
      <c r="B14" s="1">
        <v>23</v>
      </c>
      <c r="C14" s="1" t="s">
        <v>9</v>
      </c>
      <c r="D14" s="1" t="s">
        <v>46</v>
      </c>
      <c r="E14" s="1" t="s">
        <v>47</v>
      </c>
      <c r="F14" s="1" t="s">
        <v>14</v>
      </c>
      <c r="G14" s="1">
        <v>1</v>
      </c>
      <c r="H14" s="1">
        <v>300</v>
      </c>
      <c r="I14" s="1">
        <v>300</v>
      </c>
      <c r="J14" s="1" t="s">
        <v>48</v>
      </c>
      <c r="K14" s="1"/>
      <c r="L14" s="1"/>
      <c r="M14" s="8"/>
      <c r="N14" s="1">
        <f t="shared" si="0"/>
        <v>0</v>
      </c>
    </row>
    <row r="15" spans="1:16" hidden="1" x14ac:dyDescent="0.25">
      <c r="A15" s="1">
        <v>14030262659</v>
      </c>
      <c r="B15" s="1">
        <v>36</v>
      </c>
      <c r="C15" s="1" t="s">
        <v>9</v>
      </c>
      <c r="D15" s="1" t="s">
        <v>49</v>
      </c>
      <c r="E15" s="10" t="s">
        <v>50</v>
      </c>
      <c r="F15" s="1" t="s">
        <v>26</v>
      </c>
      <c r="G15" s="1">
        <v>110</v>
      </c>
      <c r="H15" s="1">
        <v>90</v>
      </c>
      <c r="I15" s="1">
        <v>9900</v>
      </c>
      <c r="J15" s="1" t="s">
        <v>13</v>
      </c>
      <c r="K15" s="1"/>
      <c r="L15" s="1"/>
      <c r="M15" s="6">
        <v>48.5</v>
      </c>
      <c r="N15" s="1">
        <f t="shared" si="0"/>
        <v>48.5</v>
      </c>
      <c r="O15">
        <f t="shared" ref="O15:O17" si="5">H15*N15</f>
        <v>4365</v>
      </c>
      <c r="P15">
        <f t="shared" ref="P15:P17" si="6">G15-N15</f>
        <v>61.5</v>
      </c>
    </row>
    <row r="16" spans="1:16" hidden="1" x14ac:dyDescent="0.25">
      <c r="A16" s="1">
        <v>14030262659</v>
      </c>
      <c r="B16" s="1">
        <v>22</v>
      </c>
      <c r="C16" s="1" t="s">
        <v>9</v>
      </c>
      <c r="D16" s="1" t="s">
        <v>51</v>
      </c>
      <c r="E16" s="10" t="s">
        <v>52</v>
      </c>
      <c r="F16" s="1" t="s">
        <v>14</v>
      </c>
      <c r="G16" s="1">
        <v>1</v>
      </c>
      <c r="H16" s="1">
        <v>200</v>
      </c>
      <c r="I16" s="1">
        <v>200</v>
      </c>
      <c r="J16" s="1" t="s">
        <v>53</v>
      </c>
      <c r="K16" s="1"/>
      <c r="L16" s="1"/>
      <c r="M16" s="6">
        <v>1</v>
      </c>
      <c r="N16" s="1">
        <f t="shared" si="0"/>
        <v>1</v>
      </c>
      <c r="O16">
        <f t="shared" si="5"/>
        <v>200</v>
      </c>
      <c r="P16">
        <f t="shared" si="6"/>
        <v>0</v>
      </c>
    </row>
    <row r="17" spans="1:16" hidden="1" x14ac:dyDescent="0.25">
      <c r="A17" s="1">
        <v>14030262659</v>
      </c>
      <c r="B17" s="1">
        <v>33</v>
      </c>
      <c r="C17" s="1" t="s">
        <v>9</v>
      </c>
      <c r="D17" s="1" t="s">
        <v>54</v>
      </c>
      <c r="E17" s="10" t="s">
        <v>55</v>
      </c>
      <c r="F17" s="1" t="s">
        <v>14</v>
      </c>
      <c r="G17" s="1">
        <v>1</v>
      </c>
      <c r="H17" s="1">
        <v>1000</v>
      </c>
      <c r="I17" s="1">
        <v>1000</v>
      </c>
      <c r="J17" s="1" t="s">
        <v>15</v>
      </c>
      <c r="K17" s="1"/>
      <c r="L17" s="1"/>
      <c r="M17" s="6">
        <v>1</v>
      </c>
      <c r="N17" s="1">
        <f t="shared" si="0"/>
        <v>1</v>
      </c>
      <c r="O17">
        <f t="shared" si="5"/>
        <v>1000</v>
      </c>
      <c r="P17">
        <f t="shared" si="6"/>
        <v>0</v>
      </c>
    </row>
    <row r="18" spans="1:16" hidden="1" x14ac:dyDescent="0.25">
      <c r="A18" s="1">
        <v>14030262659</v>
      </c>
      <c r="B18" s="1">
        <v>26</v>
      </c>
      <c r="C18" s="1" t="s">
        <v>9</v>
      </c>
      <c r="D18" s="1" t="s">
        <v>56</v>
      </c>
      <c r="E18" s="1" t="s">
        <v>57</v>
      </c>
      <c r="F18" s="1" t="s">
        <v>14</v>
      </c>
      <c r="G18" s="1">
        <v>1</v>
      </c>
      <c r="H18" s="1">
        <v>750</v>
      </c>
      <c r="I18" s="1">
        <v>750</v>
      </c>
      <c r="J18" s="1" t="s">
        <v>15</v>
      </c>
      <c r="K18" s="1"/>
      <c r="L18" s="1"/>
      <c r="M18" s="8"/>
      <c r="N18" s="1">
        <f t="shared" si="0"/>
        <v>0</v>
      </c>
    </row>
    <row r="19" spans="1:16" hidden="1" x14ac:dyDescent="0.25">
      <c r="A19" s="1">
        <v>14030262659</v>
      </c>
      <c r="B19" s="1">
        <v>47</v>
      </c>
      <c r="C19" s="1" t="s">
        <v>9</v>
      </c>
      <c r="D19" s="1" t="s">
        <v>58</v>
      </c>
      <c r="E19" s="10" t="s">
        <v>59</v>
      </c>
      <c r="F19" s="1" t="s">
        <v>26</v>
      </c>
      <c r="G19" s="1">
        <v>2</v>
      </c>
      <c r="H19" s="1">
        <v>398</v>
      </c>
      <c r="I19" s="1">
        <v>796</v>
      </c>
      <c r="J19" s="1" t="s">
        <v>15</v>
      </c>
      <c r="K19" s="1"/>
      <c r="L19" s="1"/>
      <c r="M19" s="6">
        <v>1</v>
      </c>
      <c r="N19" s="1">
        <f t="shared" si="0"/>
        <v>1</v>
      </c>
      <c r="O19">
        <f t="shared" ref="O19:O21" si="7">H19*N19</f>
        <v>398</v>
      </c>
      <c r="P19">
        <f t="shared" ref="P19:P21" si="8">G19-N19</f>
        <v>1</v>
      </c>
    </row>
    <row r="20" spans="1:16" hidden="1" x14ac:dyDescent="0.25">
      <c r="A20" s="1">
        <v>14030262659</v>
      </c>
      <c r="B20" s="1">
        <v>42</v>
      </c>
      <c r="C20" s="1" t="s">
        <v>9</v>
      </c>
      <c r="D20" s="1" t="s">
        <v>60</v>
      </c>
      <c r="E20" s="10" t="s">
        <v>61</v>
      </c>
      <c r="F20" s="1" t="s">
        <v>26</v>
      </c>
      <c r="G20" s="1">
        <v>30</v>
      </c>
      <c r="H20" s="1">
        <v>58</v>
      </c>
      <c r="I20" s="1">
        <v>1740</v>
      </c>
      <c r="J20" s="1" t="s">
        <v>48</v>
      </c>
      <c r="K20" s="1"/>
      <c r="L20" s="1"/>
      <c r="M20" s="6">
        <v>30</v>
      </c>
      <c r="N20" s="1">
        <f t="shared" si="0"/>
        <v>30</v>
      </c>
      <c r="O20">
        <f t="shared" si="7"/>
        <v>1740</v>
      </c>
      <c r="P20">
        <f t="shared" si="8"/>
        <v>0</v>
      </c>
    </row>
    <row r="21" spans="1:16" hidden="1" x14ac:dyDescent="0.25">
      <c r="A21" s="1">
        <v>14030262659</v>
      </c>
      <c r="B21" s="1">
        <v>40</v>
      </c>
      <c r="C21" s="1" t="s">
        <v>9</v>
      </c>
      <c r="D21" s="1" t="s">
        <v>62</v>
      </c>
      <c r="E21" s="10" t="s">
        <v>63</v>
      </c>
      <c r="F21" s="1" t="s">
        <v>26</v>
      </c>
      <c r="G21" s="1">
        <v>30</v>
      </c>
      <c r="H21" s="1">
        <v>48</v>
      </c>
      <c r="I21" s="1">
        <v>1440</v>
      </c>
      <c r="J21" s="1" t="s">
        <v>48</v>
      </c>
      <c r="K21" s="1"/>
      <c r="L21" s="1"/>
      <c r="M21" s="6">
        <v>22</v>
      </c>
      <c r="N21" s="1">
        <f t="shared" si="0"/>
        <v>22</v>
      </c>
      <c r="O21">
        <f t="shared" si="7"/>
        <v>1056</v>
      </c>
      <c r="P21">
        <f t="shared" si="8"/>
        <v>8</v>
      </c>
    </row>
    <row r="22" spans="1:16" hidden="1" x14ac:dyDescent="0.25">
      <c r="A22" s="1">
        <v>14030262659</v>
      </c>
      <c r="B22" s="1">
        <v>48</v>
      </c>
      <c r="C22" s="1" t="s">
        <v>9</v>
      </c>
      <c r="D22" s="1" t="s">
        <v>64</v>
      </c>
      <c r="E22" s="1" t="s">
        <v>65</v>
      </c>
      <c r="F22" s="1" t="s">
        <v>12</v>
      </c>
      <c r="G22" s="1">
        <v>1.75</v>
      </c>
      <c r="H22" s="1">
        <v>4800</v>
      </c>
      <c r="I22" s="1">
        <v>8400</v>
      </c>
      <c r="J22" s="1" t="s">
        <v>13</v>
      </c>
      <c r="K22" s="1"/>
      <c r="L22" s="1"/>
      <c r="M22" s="8"/>
      <c r="N22" s="1">
        <f t="shared" si="0"/>
        <v>0</v>
      </c>
    </row>
    <row r="23" spans="1:16" hidden="1" x14ac:dyDescent="0.25">
      <c r="A23" s="1">
        <v>14030262659</v>
      </c>
      <c r="B23" s="1">
        <v>18</v>
      </c>
      <c r="C23" s="1" t="s">
        <v>9</v>
      </c>
      <c r="D23" s="1" t="s">
        <v>66</v>
      </c>
      <c r="E23" s="1" t="s">
        <v>67</v>
      </c>
      <c r="F23" s="1" t="s">
        <v>12</v>
      </c>
      <c r="G23" s="1">
        <v>12.25</v>
      </c>
      <c r="H23" s="1">
        <v>1200</v>
      </c>
      <c r="I23" s="1">
        <v>14700</v>
      </c>
      <c r="J23" s="1" t="s">
        <v>13</v>
      </c>
      <c r="K23" s="1"/>
      <c r="L23" s="1"/>
      <c r="M23" s="8"/>
      <c r="N23" s="1">
        <f t="shared" si="0"/>
        <v>0</v>
      </c>
    </row>
    <row r="24" spans="1:16" hidden="1" x14ac:dyDescent="0.25">
      <c r="A24" s="1">
        <v>14030262659</v>
      </c>
      <c r="B24" s="1">
        <v>34</v>
      </c>
      <c r="C24" s="1" t="s">
        <v>9</v>
      </c>
      <c r="D24" s="1" t="s">
        <v>68</v>
      </c>
      <c r="E24" s="10" t="s">
        <v>69</v>
      </c>
      <c r="F24" s="1" t="s">
        <v>14</v>
      </c>
      <c r="G24" s="1">
        <v>1</v>
      </c>
      <c r="H24" s="1">
        <v>1000</v>
      </c>
      <c r="I24" s="1">
        <v>1000</v>
      </c>
      <c r="J24" s="1" t="s">
        <v>48</v>
      </c>
      <c r="K24" s="1"/>
      <c r="L24" s="1"/>
      <c r="M24" s="6">
        <v>1</v>
      </c>
      <c r="N24" s="1">
        <f t="shared" si="0"/>
        <v>1</v>
      </c>
      <c r="O24">
        <f t="shared" ref="O24:O27" si="9">H24*N24</f>
        <v>1000</v>
      </c>
      <c r="P24">
        <f t="shared" ref="P24:P27" si="10">G24-N24</f>
        <v>0</v>
      </c>
    </row>
    <row r="25" spans="1:16" hidden="1" x14ac:dyDescent="0.25">
      <c r="A25" s="1">
        <v>14030262659</v>
      </c>
      <c r="B25" s="1">
        <v>50</v>
      </c>
      <c r="C25" s="1" t="s">
        <v>9</v>
      </c>
      <c r="D25" s="1" t="s">
        <v>70</v>
      </c>
      <c r="E25" s="10" t="s">
        <v>71</v>
      </c>
      <c r="F25" s="1" t="s">
        <v>14</v>
      </c>
      <c r="G25" s="1">
        <v>1</v>
      </c>
      <c r="H25" s="1">
        <v>460</v>
      </c>
      <c r="I25" s="1">
        <v>460</v>
      </c>
      <c r="J25" s="1" t="s">
        <v>48</v>
      </c>
      <c r="K25" s="1"/>
      <c r="L25" s="1"/>
      <c r="M25" s="6">
        <v>1</v>
      </c>
      <c r="N25" s="1">
        <f t="shared" si="0"/>
        <v>1</v>
      </c>
      <c r="O25">
        <f t="shared" si="9"/>
        <v>460</v>
      </c>
      <c r="P25">
        <f t="shared" si="10"/>
        <v>0</v>
      </c>
    </row>
    <row r="26" spans="1:16" hidden="1" x14ac:dyDescent="0.25">
      <c r="A26" s="1">
        <v>14030262659</v>
      </c>
      <c r="B26" s="1">
        <v>45</v>
      </c>
      <c r="C26" s="1" t="s">
        <v>9</v>
      </c>
      <c r="D26" s="1" t="s">
        <v>72</v>
      </c>
      <c r="E26" s="10" t="s">
        <v>73</v>
      </c>
      <c r="F26" s="1" t="s">
        <v>14</v>
      </c>
      <c r="G26" s="1">
        <v>5</v>
      </c>
      <c r="H26" s="1">
        <v>500</v>
      </c>
      <c r="I26" s="1">
        <v>2500</v>
      </c>
      <c r="J26" s="1" t="s">
        <v>13</v>
      </c>
      <c r="K26" s="1"/>
      <c r="L26" s="1"/>
      <c r="M26" s="8"/>
      <c r="N26" s="1">
        <v>5</v>
      </c>
      <c r="O26">
        <f t="shared" si="9"/>
        <v>2500</v>
      </c>
      <c r="P26">
        <f t="shared" si="10"/>
        <v>0</v>
      </c>
    </row>
    <row r="27" spans="1:16" hidden="1" x14ac:dyDescent="0.25">
      <c r="A27" s="1">
        <v>14030262659</v>
      </c>
      <c r="B27" s="1">
        <v>32</v>
      </c>
      <c r="C27" s="1" t="s">
        <v>9</v>
      </c>
      <c r="D27" s="1" t="s">
        <v>74</v>
      </c>
      <c r="E27" s="10" t="s">
        <v>75</v>
      </c>
      <c r="F27" s="1" t="s">
        <v>14</v>
      </c>
      <c r="G27" s="1">
        <v>1</v>
      </c>
      <c r="H27" s="1">
        <v>9700</v>
      </c>
      <c r="I27" s="1">
        <v>9700</v>
      </c>
      <c r="J27" s="1" t="s">
        <v>15</v>
      </c>
      <c r="K27" s="1"/>
      <c r="L27" s="1"/>
      <c r="M27" s="8"/>
      <c r="N27" s="1">
        <v>1</v>
      </c>
      <c r="O27">
        <f t="shared" si="9"/>
        <v>9700</v>
      </c>
      <c r="P27">
        <f t="shared" si="10"/>
        <v>0</v>
      </c>
    </row>
    <row r="28" spans="1:16" hidden="1" x14ac:dyDescent="0.25">
      <c r="A28" s="1">
        <v>14030262659</v>
      </c>
      <c r="B28" s="1">
        <v>44</v>
      </c>
      <c r="C28" s="1" t="s">
        <v>9</v>
      </c>
      <c r="D28" s="1" t="s">
        <v>76</v>
      </c>
      <c r="E28" s="1" t="s">
        <v>77</v>
      </c>
      <c r="F28" s="1" t="s">
        <v>12</v>
      </c>
      <c r="G28" s="1">
        <v>12.25</v>
      </c>
      <c r="H28" s="1">
        <v>233</v>
      </c>
      <c r="I28" s="1">
        <v>2854.25</v>
      </c>
      <c r="J28" s="1" t="s">
        <v>13</v>
      </c>
      <c r="K28" s="1"/>
      <c r="L28" s="1"/>
      <c r="M28" s="8"/>
      <c r="N28" s="1">
        <f t="shared" si="0"/>
        <v>0</v>
      </c>
    </row>
    <row r="29" spans="1:16" hidden="1" x14ac:dyDescent="0.25">
      <c r="A29" s="1">
        <v>14030262659</v>
      </c>
      <c r="B29" s="1">
        <v>49</v>
      </c>
      <c r="C29" s="1" t="s">
        <v>9</v>
      </c>
      <c r="D29" s="1" t="s">
        <v>78</v>
      </c>
      <c r="E29" s="1" t="s">
        <v>79</v>
      </c>
      <c r="F29" s="1" t="s">
        <v>14</v>
      </c>
      <c r="G29" s="1">
        <v>16</v>
      </c>
      <c r="H29" s="1">
        <v>53</v>
      </c>
      <c r="I29" s="1">
        <v>848</v>
      </c>
      <c r="J29" s="1" t="s">
        <v>13</v>
      </c>
      <c r="K29" s="1"/>
      <c r="L29" s="1"/>
      <c r="M29" s="8"/>
      <c r="N29" s="1">
        <f t="shared" si="0"/>
        <v>0</v>
      </c>
    </row>
    <row r="30" spans="1:16" hidden="1" x14ac:dyDescent="0.25">
      <c r="A30" s="1">
        <v>14030262659</v>
      </c>
      <c r="B30" s="1">
        <v>20</v>
      </c>
      <c r="C30" s="1" t="s">
        <v>9</v>
      </c>
      <c r="D30" s="1" t="s">
        <v>80</v>
      </c>
      <c r="E30" s="1" t="s">
        <v>81</v>
      </c>
      <c r="F30" s="1" t="s">
        <v>82</v>
      </c>
      <c r="G30" s="1">
        <v>25</v>
      </c>
      <c r="H30" s="1">
        <v>85</v>
      </c>
      <c r="I30" s="1">
        <v>2125</v>
      </c>
      <c r="J30" s="1" t="s">
        <v>83</v>
      </c>
      <c r="K30" s="1"/>
      <c r="L30" s="1"/>
      <c r="M30" s="8"/>
      <c r="N30" s="1">
        <f t="shared" si="0"/>
        <v>0</v>
      </c>
    </row>
    <row r="31" spans="1:16" hidden="1" x14ac:dyDescent="0.25">
      <c r="A31" s="1">
        <v>14030262659</v>
      </c>
      <c r="B31" s="1">
        <v>28</v>
      </c>
      <c r="C31" s="1" t="s">
        <v>9</v>
      </c>
      <c r="D31" s="1" t="s">
        <v>84</v>
      </c>
      <c r="E31" s="10" t="s">
        <v>85</v>
      </c>
      <c r="F31" s="1" t="s">
        <v>14</v>
      </c>
      <c r="G31" s="1">
        <v>1</v>
      </c>
      <c r="H31" s="1">
        <v>2365</v>
      </c>
      <c r="I31" s="1">
        <v>2365</v>
      </c>
      <c r="J31" s="1" t="s">
        <v>86</v>
      </c>
      <c r="K31" s="1"/>
      <c r="L31" s="1"/>
      <c r="M31" s="6">
        <v>1</v>
      </c>
      <c r="N31" s="1">
        <f t="shared" si="0"/>
        <v>1</v>
      </c>
      <c r="O31">
        <f t="shared" ref="O31:O33" si="11">H31*N31</f>
        <v>2365</v>
      </c>
      <c r="P31">
        <f t="shared" ref="P31:P33" si="12">G31-N31</f>
        <v>0</v>
      </c>
    </row>
    <row r="32" spans="1:16" hidden="1" x14ac:dyDescent="0.25">
      <c r="A32" s="1">
        <v>14030262659</v>
      </c>
      <c r="B32" s="1">
        <v>39</v>
      </c>
      <c r="C32" s="1" t="s">
        <v>9</v>
      </c>
      <c r="D32" s="1" t="s">
        <v>87</v>
      </c>
      <c r="E32" s="10" t="s">
        <v>88</v>
      </c>
      <c r="F32" s="1" t="s">
        <v>14</v>
      </c>
      <c r="G32" s="1">
        <v>3</v>
      </c>
      <c r="H32" s="1">
        <v>880</v>
      </c>
      <c r="I32" s="1">
        <v>2640</v>
      </c>
      <c r="J32" s="1" t="s">
        <v>86</v>
      </c>
      <c r="K32" s="1"/>
      <c r="L32" s="1"/>
      <c r="M32" s="6">
        <v>4</v>
      </c>
      <c r="N32" s="1">
        <f t="shared" si="0"/>
        <v>4</v>
      </c>
      <c r="O32">
        <f>H32*G32</f>
        <v>2640</v>
      </c>
      <c r="P32">
        <f t="shared" si="12"/>
        <v>-1</v>
      </c>
    </row>
    <row r="33" spans="1:16" hidden="1" x14ac:dyDescent="0.25">
      <c r="A33" s="1">
        <v>14030262659</v>
      </c>
      <c r="B33" s="1">
        <v>29</v>
      </c>
      <c r="C33" s="1" t="s">
        <v>9</v>
      </c>
      <c r="D33" s="1" t="s">
        <v>89</v>
      </c>
      <c r="E33" s="10" t="s">
        <v>90</v>
      </c>
      <c r="F33" s="1" t="s">
        <v>14</v>
      </c>
      <c r="G33" s="1">
        <v>1</v>
      </c>
      <c r="H33" s="1">
        <v>660</v>
      </c>
      <c r="I33" s="1">
        <v>660</v>
      </c>
      <c r="J33" s="1" t="s">
        <v>86</v>
      </c>
      <c r="K33" s="1"/>
      <c r="L33" s="1"/>
      <c r="M33" s="6">
        <v>1</v>
      </c>
      <c r="N33" s="1">
        <f t="shared" si="0"/>
        <v>1</v>
      </c>
      <c r="O33">
        <f t="shared" si="11"/>
        <v>660</v>
      </c>
      <c r="P33">
        <f t="shared" si="12"/>
        <v>0</v>
      </c>
    </row>
    <row r="34" spans="1:16" hidden="1" x14ac:dyDescent="0.25">
      <c r="A34" s="1">
        <v>14030262659</v>
      </c>
      <c r="B34" s="1">
        <v>30</v>
      </c>
      <c r="C34" s="1" t="s">
        <v>9</v>
      </c>
      <c r="D34" s="1" t="s">
        <v>91</v>
      </c>
      <c r="E34" s="1" t="s">
        <v>92</v>
      </c>
      <c r="F34" s="1" t="s">
        <v>14</v>
      </c>
      <c r="G34" s="1">
        <v>3</v>
      </c>
      <c r="H34" s="1">
        <v>152</v>
      </c>
      <c r="I34" s="1">
        <v>456</v>
      </c>
      <c r="J34" s="1" t="s">
        <v>86</v>
      </c>
      <c r="K34" s="1"/>
      <c r="L34" s="1"/>
      <c r="M34" s="8"/>
      <c r="N34" s="1">
        <f t="shared" si="0"/>
        <v>0</v>
      </c>
    </row>
    <row r="35" spans="1:16" hidden="1" x14ac:dyDescent="0.25">
      <c r="A35" s="1">
        <v>14030262659</v>
      </c>
      <c r="B35" s="1">
        <v>31</v>
      </c>
      <c r="C35" s="1" t="s">
        <v>9</v>
      </c>
      <c r="D35" s="1" t="s">
        <v>93</v>
      </c>
      <c r="E35" s="10" t="s">
        <v>94</v>
      </c>
      <c r="F35" s="1" t="s">
        <v>14</v>
      </c>
      <c r="G35" s="1">
        <v>1</v>
      </c>
      <c r="H35" s="1">
        <v>143</v>
      </c>
      <c r="I35" s="1">
        <v>143</v>
      </c>
      <c r="J35" s="1" t="s">
        <v>86</v>
      </c>
      <c r="K35" s="1"/>
      <c r="L35" s="1"/>
      <c r="M35" s="6">
        <v>1</v>
      </c>
      <c r="N35" s="1">
        <f t="shared" si="0"/>
        <v>1</v>
      </c>
      <c r="O35">
        <f>H35*N35</f>
        <v>143</v>
      </c>
      <c r="P35">
        <f>G35-N35</f>
        <v>0</v>
      </c>
    </row>
    <row r="36" spans="1:16" hidden="1" x14ac:dyDescent="0.25">
      <c r="A36" s="1">
        <v>14030262659</v>
      </c>
      <c r="B36" s="1">
        <v>37</v>
      </c>
      <c r="C36" s="1" t="s">
        <v>9</v>
      </c>
      <c r="D36" s="1" t="s">
        <v>95</v>
      </c>
      <c r="E36" s="1" t="s">
        <v>96</v>
      </c>
      <c r="F36" s="1" t="s">
        <v>14</v>
      </c>
      <c r="G36" s="1">
        <v>4</v>
      </c>
      <c r="H36" s="1">
        <v>80</v>
      </c>
      <c r="I36" s="1">
        <v>320</v>
      </c>
      <c r="J36" s="1" t="s">
        <v>86</v>
      </c>
      <c r="K36" s="1"/>
      <c r="L36" s="1"/>
      <c r="M36" s="8"/>
      <c r="N36" s="1">
        <f t="shared" si="0"/>
        <v>0</v>
      </c>
    </row>
    <row r="37" spans="1:16" hidden="1" x14ac:dyDescent="0.25">
      <c r="A37" s="1">
        <v>14030262659</v>
      </c>
      <c r="B37" s="1">
        <v>38</v>
      </c>
      <c r="C37" s="1" t="s">
        <v>9</v>
      </c>
      <c r="D37" s="1" t="s">
        <v>97</v>
      </c>
      <c r="E37" s="1" t="s">
        <v>98</v>
      </c>
      <c r="F37" s="1" t="s">
        <v>14</v>
      </c>
      <c r="G37" s="1">
        <v>4</v>
      </c>
      <c r="H37" s="1">
        <v>80</v>
      </c>
      <c r="I37" s="1">
        <v>320</v>
      </c>
      <c r="J37" s="1" t="s">
        <v>86</v>
      </c>
      <c r="K37" s="1"/>
      <c r="L37" s="1"/>
      <c r="M37" s="8"/>
      <c r="N37" s="1">
        <f t="shared" si="0"/>
        <v>0</v>
      </c>
    </row>
    <row r="38" spans="1:16" hidden="1" x14ac:dyDescent="0.25">
      <c r="A38" s="1">
        <v>14030262659</v>
      </c>
      <c r="B38" s="1">
        <v>51</v>
      </c>
      <c r="C38" s="1" t="s">
        <v>9</v>
      </c>
      <c r="D38" s="1" t="s">
        <v>99</v>
      </c>
      <c r="E38" s="10" t="s">
        <v>100</v>
      </c>
      <c r="F38" s="1" t="s">
        <v>14</v>
      </c>
      <c r="G38" s="1">
        <v>2</v>
      </c>
      <c r="H38" s="1">
        <v>242</v>
      </c>
      <c r="I38" s="1">
        <v>484</v>
      </c>
      <c r="J38" s="1" t="s">
        <v>48</v>
      </c>
      <c r="K38" s="1"/>
      <c r="L38" s="1"/>
      <c r="M38" s="6">
        <v>2</v>
      </c>
      <c r="N38" s="1">
        <f t="shared" si="0"/>
        <v>2</v>
      </c>
      <c r="O38">
        <f t="shared" ref="O38:O40" si="13">H38*N38</f>
        <v>484</v>
      </c>
      <c r="P38">
        <f t="shared" ref="P38:P40" si="14">G38-N38</f>
        <v>0</v>
      </c>
    </row>
    <row r="39" spans="1:16" hidden="1" x14ac:dyDescent="0.25">
      <c r="A39" s="1">
        <v>14030262659</v>
      </c>
      <c r="B39" s="1">
        <v>46</v>
      </c>
      <c r="C39" s="1" t="s">
        <v>9</v>
      </c>
      <c r="D39" s="1" t="s">
        <v>101</v>
      </c>
      <c r="E39" s="10" t="s">
        <v>102</v>
      </c>
      <c r="F39" s="1" t="s">
        <v>14</v>
      </c>
      <c r="G39" s="1">
        <v>1</v>
      </c>
      <c r="H39" s="1">
        <v>50</v>
      </c>
      <c r="I39" s="1">
        <v>50</v>
      </c>
      <c r="J39" s="1" t="s">
        <v>15</v>
      </c>
      <c r="K39" s="1"/>
      <c r="L39" s="1"/>
      <c r="M39" s="6">
        <v>1</v>
      </c>
      <c r="N39" s="1">
        <f t="shared" si="0"/>
        <v>1</v>
      </c>
      <c r="O39">
        <f t="shared" si="13"/>
        <v>50</v>
      </c>
      <c r="P39">
        <f t="shared" si="14"/>
        <v>0</v>
      </c>
    </row>
    <row r="40" spans="1:16" hidden="1" x14ac:dyDescent="0.25">
      <c r="A40" s="1">
        <v>14030262659</v>
      </c>
      <c r="B40" s="1">
        <v>27</v>
      </c>
      <c r="C40" s="1" t="s">
        <v>9</v>
      </c>
      <c r="D40" s="1" t="s">
        <v>103</v>
      </c>
      <c r="E40" s="10" t="s">
        <v>104</v>
      </c>
      <c r="F40" s="1" t="s">
        <v>14</v>
      </c>
      <c r="G40" s="1">
        <v>1</v>
      </c>
      <c r="H40" s="1">
        <v>200</v>
      </c>
      <c r="I40" s="1">
        <v>200</v>
      </c>
      <c r="J40" s="1" t="s">
        <v>13</v>
      </c>
      <c r="K40" s="1"/>
      <c r="L40" s="1"/>
      <c r="M40" s="6">
        <v>6.5</v>
      </c>
      <c r="N40" s="1">
        <f t="shared" si="0"/>
        <v>6.5</v>
      </c>
      <c r="O40">
        <f>H40*G40</f>
        <v>200</v>
      </c>
      <c r="P40">
        <f t="shared" si="14"/>
        <v>-5.5</v>
      </c>
    </row>
    <row r="41" spans="1:16" hidden="1" x14ac:dyDescent="0.25">
      <c r="A41" s="1">
        <v>14030262659</v>
      </c>
      <c r="B41" s="1">
        <v>35</v>
      </c>
      <c r="C41" s="1" t="s">
        <v>9</v>
      </c>
      <c r="D41" s="1" t="s">
        <v>105</v>
      </c>
      <c r="E41" s="1" t="s">
        <v>106</v>
      </c>
      <c r="F41" s="1" t="s">
        <v>14</v>
      </c>
      <c r="G41" s="1">
        <v>1</v>
      </c>
      <c r="H41" s="1">
        <v>500</v>
      </c>
      <c r="I41" s="1">
        <v>500</v>
      </c>
      <c r="J41" s="1" t="s">
        <v>15</v>
      </c>
      <c r="K41" s="1"/>
      <c r="L41" s="1"/>
      <c r="M41" s="8"/>
      <c r="N41" s="1">
        <f t="shared" si="0"/>
        <v>0</v>
      </c>
    </row>
    <row r="42" spans="1:16" hidden="1" x14ac:dyDescent="0.25">
      <c r="A42" s="1">
        <v>14030262659</v>
      </c>
      <c r="B42" s="1">
        <v>13</v>
      </c>
      <c r="C42" s="1" t="s">
        <v>9</v>
      </c>
      <c r="D42" s="1" t="s">
        <v>107</v>
      </c>
      <c r="E42" s="10" t="s">
        <v>108</v>
      </c>
      <c r="F42" s="1" t="s">
        <v>14</v>
      </c>
      <c r="G42" s="1">
        <v>1</v>
      </c>
      <c r="H42" s="1">
        <v>2500</v>
      </c>
      <c r="I42" s="1">
        <v>2500</v>
      </c>
      <c r="J42" s="1" t="s">
        <v>15</v>
      </c>
      <c r="K42" s="1"/>
      <c r="L42" s="1"/>
      <c r="M42" s="6">
        <v>1</v>
      </c>
      <c r="N42" s="1">
        <f t="shared" si="0"/>
        <v>1</v>
      </c>
      <c r="O42">
        <f t="shared" ref="O42:O43" si="15">H42*N42</f>
        <v>2500</v>
      </c>
      <c r="P42">
        <f t="shared" ref="P42:P43" si="16">G42-N42</f>
        <v>0</v>
      </c>
    </row>
    <row r="43" spans="1:16" hidden="1" x14ac:dyDescent="0.25">
      <c r="A43" s="1">
        <v>14030262659</v>
      </c>
      <c r="B43" s="1">
        <v>24</v>
      </c>
      <c r="C43" s="1" t="s">
        <v>9</v>
      </c>
      <c r="D43" s="1" t="s">
        <v>109</v>
      </c>
      <c r="E43" s="10" t="s">
        <v>110</v>
      </c>
      <c r="F43" s="1" t="s">
        <v>14</v>
      </c>
      <c r="G43" s="1">
        <v>1</v>
      </c>
      <c r="H43" s="1">
        <v>1500</v>
      </c>
      <c r="I43" s="1">
        <v>1500</v>
      </c>
      <c r="J43" s="1" t="s">
        <v>111</v>
      </c>
      <c r="K43" s="1"/>
      <c r="L43" s="1"/>
      <c r="M43" s="6">
        <v>1</v>
      </c>
      <c r="N43" s="1">
        <f t="shared" si="0"/>
        <v>1</v>
      </c>
      <c r="O43">
        <f t="shared" si="15"/>
        <v>1500</v>
      </c>
      <c r="P43">
        <f t="shared" si="16"/>
        <v>0</v>
      </c>
    </row>
    <row r="44" spans="1:16" hidden="1" x14ac:dyDescent="0.25">
      <c r="A44" s="1">
        <v>14030262659</v>
      </c>
      <c r="B44" s="1">
        <v>25</v>
      </c>
      <c r="C44" s="1" t="s">
        <v>9</v>
      </c>
      <c r="D44" s="1" t="s">
        <v>112</v>
      </c>
      <c r="E44" s="1" t="s">
        <v>113</v>
      </c>
      <c r="F44" s="1" t="s">
        <v>14</v>
      </c>
      <c r="G44" s="1">
        <v>1</v>
      </c>
      <c r="H44" s="1">
        <v>1000</v>
      </c>
      <c r="I44" s="1">
        <v>1000</v>
      </c>
      <c r="J44" s="1" t="s">
        <v>15</v>
      </c>
      <c r="K44" s="1"/>
      <c r="L44" s="1"/>
      <c r="M44" s="8"/>
      <c r="N44" s="1">
        <f t="shared" si="0"/>
        <v>0</v>
      </c>
    </row>
    <row r="45" spans="1:16" hidden="1" x14ac:dyDescent="0.25">
      <c r="A45" s="1">
        <v>14030262659</v>
      </c>
      <c r="B45" s="1">
        <v>11</v>
      </c>
      <c r="C45" s="1" t="s">
        <v>9</v>
      </c>
      <c r="D45" s="1" t="s">
        <v>114</v>
      </c>
      <c r="E45" s="1" t="s">
        <v>115</v>
      </c>
      <c r="F45" s="1" t="s">
        <v>14</v>
      </c>
      <c r="G45" s="1">
        <v>1</v>
      </c>
      <c r="H45" s="1">
        <v>1600</v>
      </c>
      <c r="I45" s="1">
        <v>1600</v>
      </c>
      <c r="J45" s="1" t="s">
        <v>43</v>
      </c>
      <c r="K45" s="1"/>
      <c r="L45" s="1"/>
      <c r="M45" s="8"/>
      <c r="N45" s="1">
        <f t="shared" si="0"/>
        <v>0</v>
      </c>
    </row>
    <row r="46" spans="1:16" hidden="1" x14ac:dyDescent="0.25">
      <c r="A46" s="1">
        <v>14030262659</v>
      </c>
      <c r="B46" s="1">
        <v>12</v>
      </c>
      <c r="C46" s="1" t="s">
        <v>9</v>
      </c>
      <c r="D46" s="3" t="s">
        <v>116</v>
      </c>
      <c r="E46" s="10" t="s">
        <v>117</v>
      </c>
      <c r="F46" s="1" t="s">
        <v>14</v>
      </c>
      <c r="G46" s="1">
        <v>1</v>
      </c>
      <c r="H46" s="1">
        <v>21600</v>
      </c>
      <c r="I46" s="1">
        <v>21600</v>
      </c>
      <c r="J46" s="1" t="s">
        <v>15</v>
      </c>
      <c r="K46" s="1"/>
      <c r="L46" s="1"/>
      <c r="M46" s="8"/>
      <c r="N46" s="1">
        <v>1</v>
      </c>
      <c r="O46">
        <f t="shared" ref="O46:O47" si="17">H46*N46</f>
        <v>21600</v>
      </c>
      <c r="P46">
        <f t="shared" ref="P46:P47" si="18">G46-N46</f>
        <v>0</v>
      </c>
    </row>
    <row r="47" spans="1:16" hidden="1" x14ac:dyDescent="0.25">
      <c r="A47" s="1">
        <v>14030262659</v>
      </c>
      <c r="B47" s="1">
        <v>15</v>
      </c>
      <c r="C47" s="1" t="s">
        <v>9</v>
      </c>
      <c r="D47" s="1" t="s">
        <v>118</v>
      </c>
      <c r="E47" s="10" t="s">
        <v>119</v>
      </c>
      <c r="F47" s="1" t="s">
        <v>14</v>
      </c>
      <c r="G47" s="1">
        <v>1</v>
      </c>
      <c r="H47" s="1">
        <v>25000</v>
      </c>
      <c r="I47" s="1">
        <v>25000</v>
      </c>
      <c r="J47" s="1" t="s">
        <v>13</v>
      </c>
      <c r="K47" s="1"/>
      <c r="L47" s="1"/>
      <c r="M47" s="8"/>
      <c r="N47" s="1">
        <v>1</v>
      </c>
      <c r="O47">
        <f t="shared" si="17"/>
        <v>25000</v>
      </c>
      <c r="P47">
        <f t="shared" si="18"/>
        <v>0</v>
      </c>
    </row>
    <row r="48" spans="1:16" hidden="1" x14ac:dyDescent="0.25">
      <c r="A48" s="1">
        <v>14030262659</v>
      </c>
      <c r="B48" s="1">
        <v>21</v>
      </c>
      <c r="C48" s="1" t="s">
        <v>9</v>
      </c>
      <c r="D48" s="1" t="s">
        <v>120</v>
      </c>
      <c r="E48" s="1" t="s">
        <v>121</v>
      </c>
      <c r="F48" s="1" t="s">
        <v>12</v>
      </c>
      <c r="G48" s="1">
        <v>4.9000000000000004</v>
      </c>
      <c r="H48" s="1">
        <v>4715</v>
      </c>
      <c r="I48" s="1">
        <v>23103.5</v>
      </c>
      <c r="J48" s="1" t="s">
        <v>13</v>
      </c>
      <c r="K48" s="1"/>
      <c r="L48" s="1"/>
      <c r="M48" s="8"/>
      <c r="N48" s="1">
        <f t="shared" si="0"/>
        <v>0</v>
      </c>
    </row>
    <row r="49" spans="1:16" hidden="1" x14ac:dyDescent="0.25">
      <c r="A49" s="1">
        <v>14030262659</v>
      </c>
      <c r="B49" s="1">
        <v>41</v>
      </c>
      <c r="C49" s="1" t="s">
        <v>9</v>
      </c>
      <c r="D49" s="1" t="s">
        <v>122</v>
      </c>
      <c r="E49" s="1" t="s">
        <v>123</v>
      </c>
      <c r="F49" s="1" t="s">
        <v>14</v>
      </c>
      <c r="G49" s="1">
        <v>25</v>
      </c>
      <c r="H49" s="1">
        <v>50</v>
      </c>
      <c r="I49" s="1">
        <v>1250</v>
      </c>
      <c r="J49" s="1" t="s">
        <v>48</v>
      </c>
      <c r="K49" s="1"/>
      <c r="L49" s="1"/>
      <c r="M49" s="8"/>
      <c r="N49" s="1">
        <f t="shared" si="0"/>
        <v>0</v>
      </c>
    </row>
    <row r="50" spans="1:16" hidden="1" x14ac:dyDescent="0.25">
      <c r="A50" s="1">
        <v>14030262659</v>
      </c>
      <c r="B50" s="1">
        <v>19</v>
      </c>
      <c r="C50" s="1" t="s">
        <v>9</v>
      </c>
      <c r="D50" s="1" t="s">
        <v>124</v>
      </c>
      <c r="E50" s="10" t="s">
        <v>125</v>
      </c>
      <c r="F50" s="1" t="s">
        <v>26</v>
      </c>
      <c r="G50" s="1">
        <v>50</v>
      </c>
      <c r="H50" s="1">
        <v>94</v>
      </c>
      <c r="I50" s="1">
        <v>4700</v>
      </c>
      <c r="J50" s="1" t="s">
        <v>48</v>
      </c>
      <c r="K50" s="1"/>
      <c r="L50" s="1"/>
      <c r="M50" s="6">
        <v>3</v>
      </c>
      <c r="N50" s="1">
        <f t="shared" si="0"/>
        <v>3</v>
      </c>
      <c r="O50">
        <f>H50*N50</f>
        <v>282</v>
      </c>
      <c r="P50">
        <f>G50-N50</f>
        <v>47</v>
      </c>
    </row>
    <row r="51" spans="1:16" hidden="1" x14ac:dyDescent="0.25">
      <c r="A51" s="1">
        <v>14030262659</v>
      </c>
      <c r="B51" s="1">
        <v>52</v>
      </c>
      <c r="C51" s="1" t="s">
        <v>9</v>
      </c>
      <c r="D51" s="1" t="s">
        <v>126</v>
      </c>
      <c r="E51" s="1" t="s">
        <v>127</v>
      </c>
      <c r="F51" s="1" t="s">
        <v>14</v>
      </c>
      <c r="G51" s="1">
        <v>1</v>
      </c>
      <c r="H51" s="1">
        <v>1500</v>
      </c>
      <c r="I51" s="1">
        <v>1500</v>
      </c>
      <c r="J51" s="1" t="s">
        <v>43</v>
      </c>
      <c r="K51" s="1"/>
      <c r="L51" s="1"/>
      <c r="M51" s="8"/>
      <c r="N51" s="1">
        <f t="shared" si="0"/>
        <v>0</v>
      </c>
    </row>
    <row r="52" spans="1:16" hidden="1" x14ac:dyDescent="0.25">
      <c r="A52" s="1">
        <v>14030262659</v>
      </c>
      <c r="B52" s="1">
        <v>53</v>
      </c>
      <c r="C52" s="1" t="s">
        <v>9</v>
      </c>
      <c r="D52" s="1" t="s">
        <v>128</v>
      </c>
      <c r="E52" s="1" t="s">
        <v>129</v>
      </c>
      <c r="F52" s="1" t="s">
        <v>14</v>
      </c>
      <c r="G52" s="1">
        <v>1</v>
      </c>
      <c r="H52" s="1">
        <v>1000</v>
      </c>
      <c r="I52" s="1">
        <v>1000</v>
      </c>
      <c r="J52" s="1" t="s">
        <v>43</v>
      </c>
      <c r="K52" s="1"/>
      <c r="L52" s="1"/>
      <c r="M52" s="8"/>
      <c r="N52" s="1">
        <f t="shared" si="0"/>
        <v>0</v>
      </c>
    </row>
    <row r="53" spans="1:16" hidden="1" x14ac:dyDescent="0.25">
      <c r="A53" s="1">
        <v>14030262659</v>
      </c>
      <c r="B53" s="1">
        <v>43</v>
      </c>
      <c r="C53" s="1" t="s">
        <v>9</v>
      </c>
      <c r="D53" s="1" t="s">
        <v>130</v>
      </c>
      <c r="E53" s="1" t="s">
        <v>131</v>
      </c>
      <c r="F53" s="1" t="s">
        <v>14</v>
      </c>
      <c r="G53" s="1">
        <v>8</v>
      </c>
      <c r="H53" s="1">
        <v>187.01</v>
      </c>
      <c r="I53" s="1">
        <v>1496.08</v>
      </c>
      <c r="J53" s="1" t="s">
        <v>13</v>
      </c>
      <c r="K53" s="1"/>
      <c r="L53" s="1"/>
      <c r="M53" s="8"/>
      <c r="N53" s="1">
        <f t="shared" si="0"/>
        <v>0</v>
      </c>
    </row>
    <row r="54" spans="1:16" hidden="1" x14ac:dyDescent="0.25">
      <c r="A54" s="1">
        <v>14030262659</v>
      </c>
      <c r="B54" s="1">
        <v>6</v>
      </c>
      <c r="C54" s="1" t="s">
        <v>9</v>
      </c>
      <c r="D54" s="1" t="s">
        <v>132</v>
      </c>
      <c r="E54" s="10" t="s">
        <v>133</v>
      </c>
      <c r="F54" s="1" t="s">
        <v>26</v>
      </c>
      <c r="G54" s="1">
        <v>4</v>
      </c>
      <c r="H54" s="1">
        <v>737</v>
      </c>
      <c r="I54" s="1">
        <v>2948</v>
      </c>
      <c r="J54" s="1" t="s">
        <v>13</v>
      </c>
      <c r="K54" s="1"/>
      <c r="L54" s="1"/>
      <c r="M54" s="6">
        <v>4.5</v>
      </c>
      <c r="N54" s="1">
        <f t="shared" si="0"/>
        <v>4.5</v>
      </c>
      <c r="O54">
        <f>H54*G54</f>
        <v>2948</v>
      </c>
      <c r="P54">
        <f t="shared" ref="P54:P58" si="19">G54-N54</f>
        <v>-0.5</v>
      </c>
    </row>
    <row r="55" spans="1:16" hidden="1" x14ac:dyDescent="0.25">
      <c r="A55" s="1">
        <v>14030262659</v>
      </c>
      <c r="B55" s="1">
        <v>62</v>
      </c>
      <c r="C55" s="1" t="s">
        <v>9</v>
      </c>
      <c r="D55" s="1" t="s">
        <v>134</v>
      </c>
      <c r="E55" s="10" t="s">
        <v>135</v>
      </c>
      <c r="F55" s="1" t="s">
        <v>26</v>
      </c>
      <c r="G55" s="1">
        <v>4</v>
      </c>
      <c r="H55" s="1">
        <v>737</v>
      </c>
      <c r="I55" s="1">
        <v>2948</v>
      </c>
      <c r="J55" s="1" t="s">
        <v>13</v>
      </c>
      <c r="K55" s="1"/>
      <c r="L55" s="1"/>
      <c r="M55" s="6">
        <v>4</v>
      </c>
      <c r="N55" s="1">
        <f t="shared" si="0"/>
        <v>4</v>
      </c>
      <c r="O55">
        <f t="shared" ref="O54:O58" si="20">H55*N55</f>
        <v>2948</v>
      </c>
      <c r="P55">
        <f t="shared" si="19"/>
        <v>0</v>
      </c>
    </row>
    <row r="56" spans="1:16" hidden="1" x14ac:dyDescent="0.25">
      <c r="A56" s="1">
        <v>14030262659</v>
      </c>
      <c r="B56" s="1">
        <v>10</v>
      </c>
      <c r="C56" s="1" t="s">
        <v>9</v>
      </c>
      <c r="D56" s="1" t="s">
        <v>136</v>
      </c>
      <c r="E56" s="10" t="s">
        <v>137</v>
      </c>
      <c r="F56" s="1" t="s">
        <v>26</v>
      </c>
      <c r="G56" s="1">
        <v>15</v>
      </c>
      <c r="H56" s="1">
        <v>198</v>
      </c>
      <c r="I56" s="1">
        <v>2970</v>
      </c>
      <c r="J56" s="1" t="s">
        <v>13</v>
      </c>
      <c r="K56" s="1"/>
      <c r="L56" s="1"/>
      <c r="M56" s="6">
        <v>21</v>
      </c>
      <c r="N56" s="1">
        <f t="shared" si="0"/>
        <v>21</v>
      </c>
      <c r="O56">
        <f t="shared" ref="O56:O57" si="21">H56*G56</f>
        <v>2970</v>
      </c>
      <c r="P56">
        <f t="shared" si="19"/>
        <v>-6</v>
      </c>
    </row>
    <row r="57" spans="1:16" hidden="1" x14ac:dyDescent="0.25">
      <c r="A57" s="1">
        <v>14030262659</v>
      </c>
      <c r="B57" s="1">
        <v>5</v>
      </c>
      <c r="C57" s="1" t="s">
        <v>9</v>
      </c>
      <c r="D57" s="1" t="s">
        <v>138</v>
      </c>
      <c r="E57" s="10" t="s">
        <v>139</v>
      </c>
      <c r="F57" s="1" t="s">
        <v>26</v>
      </c>
      <c r="G57" s="1">
        <v>6.5</v>
      </c>
      <c r="H57" s="1">
        <v>269</v>
      </c>
      <c r="I57" s="1">
        <v>1748.5</v>
      </c>
      <c r="J57" s="1" t="s">
        <v>13</v>
      </c>
      <c r="K57" s="1"/>
      <c r="L57" s="1"/>
      <c r="M57" s="6" t="s">
        <v>180</v>
      </c>
      <c r="N57" s="1">
        <v>140</v>
      </c>
      <c r="O57">
        <f t="shared" si="21"/>
        <v>1748.5</v>
      </c>
      <c r="P57">
        <f t="shared" si="19"/>
        <v>-133.5</v>
      </c>
    </row>
    <row r="58" spans="1:16" hidden="1" x14ac:dyDescent="0.25">
      <c r="A58" s="1">
        <v>14030262659</v>
      </c>
      <c r="B58" s="1">
        <v>57</v>
      </c>
      <c r="C58" s="1" t="s">
        <v>9</v>
      </c>
      <c r="D58" s="1" t="s">
        <v>140</v>
      </c>
      <c r="E58" s="10" t="s">
        <v>141</v>
      </c>
      <c r="F58" s="1" t="s">
        <v>26</v>
      </c>
      <c r="G58" s="1">
        <v>15</v>
      </c>
      <c r="H58" s="1">
        <v>158</v>
      </c>
      <c r="I58" s="1">
        <v>2370</v>
      </c>
      <c r="J58" s="1" t="s">
        <v>13</v>
      </c>
      <c r="K58" s="1"/>
      <c r="L58" s="1"/>
      <c r="M58" s="6">
        <v>5</v>
      </c>
      <c r="N58" s="1">
        <f t="shared" si="0"/>
        <v>5</v>
      </c>
      <c r="O58">
        <f t="shared" si="20"/>
        <v>790</v>
      </c>
      <c r="P58">
        <f t="shared" si="19"/>
        <v>10</v>
      </c>
    </row>
    <row r="59" spans="1:16" hidden="1" x14ac:dyDescent="0.25">
      <c r="A59" s="1">
        <v>14030262659</v>
      </c>
      <c r="B59" s="1">
        <v>4</v>
      </c>
      <c r="C59" s="1" t="s">
        <v>9</v>
      </c>
      <c r="D59" s="1" t="s">
        <v>142</v>
      </c>
      <c r="E59" s="1" t="s">
        <v>143</v>
      </c>
      <c r="F59" s="1" t="s">
        <v>26</v>
      </c>
      <c r="G59" s="1">
        <v>6.5</v>
      </c>
      <c r="H59" s="1">
        <v>1235</v>
      </c>
      <c r="I59" s="1">
        <v>8027.5</v>
      </c>
      <c r="J59" s="1" t="s">
        <v>13</v>
      </c>
      <c r="K59" s="1"/>
      <c r="L59" s="1"/>
      <c r="M59" s="8"/>
      <c r="N59" s="1">
        <f t="shared" si="0"/>
        <v>0</v>
      </c>
    </row>
    <row r="60" spans="1:16" hidden="1" x14ac:dyDescent="0.25">
      <c r="A60" s="1">
        <v>14030262659</v>
      </c>
      <c r="B60" s="1">
        <v>56</v>
      </c>
      <c r="C60" s="1" t="s">
        <v>9</v>
      </c>
      <c r="D60" s="1" t="s">
        <v>144</v>
      </c>
      <c r="E60" s="10" t="s">
        <v>145</v>
      </c>
      <c r="F60" s="1" t="s">
        <v>26</v>
      </c>
      <c r="G60" s="1">
        <v>65</v>
      </c>
      <c r="H60" s="1">
        <v>211</v>
      </c>
      <c r="I60" s="1">
        <v>13715</v>
      </c>
      <c r="J60" s="1" t="s">
        <v>13</v>
      </c>
      <c r="K60" s="1"/>
      <c r="L60" s="1"/>
      <c r="M60" s="6">
        <v>4.5</v>
      </c>
      <c r="N60" s="1">
        <f t="shared" si="0"/>
        <v>4.5</v>
      </c>
      <c r="O60">
        <f>H60*N60</f>
        <v>949.5</v>
      </c>
      <c r="P60">
        <f>G60-N60</f>
        <v>60.5</v>
      </c>
    </row>
    <row r="61" spans="1:16" hidden="1" x14ac:dyDescent="0.25">
      <c r="A61" s="1">
        <v>14030262659</v>
      </c>
      <c r="B61" s="1">
        <v>54</v>
      </c>
      <c r="C61" s="1" t="s">
        <v>9</v>
      </c>
      <c r="D61" s="1" t="s">
        <v>146</v>
      </c>
      <c r="E61" s="1" t="s">
        <v>147</v>
      </c>
      <c r="F61" s="1" t="s">
        <v>26</v>
      </c>
      <c r="G61" s="1">
        <v>1</v>
      </c>
      <c r="H61" s="1">
        <v>261</v>
      </c>
      <c r="I61" s="1">
        <v>261</v>
      </c>
      <c r="J61" s="1" t="s">
        <v>13</v>
      </c>
      <c r="K61" s="1"/>
      <c r="L61" s="1"/>
      <c r="M61" s="8"/>
      <c r="N61" s="1">
        <f t="shared" si="0"/>
        <v>0</v>
      </c>
    </row>
    <row r="62" spans="1:16" hidden="1" x14ac:dyDescent="0.25">
      <c r="A62" s="1">
        <v>14030262659</v>
      </c>
      <c r="B62" s="1">
        <v>61</v>
      </c>
      <c r="C62" s="1" t="s">
        <v>9</v>
      </c>
      <c r="D62" s="1" t="s">
        <v>148</v>
      </c>
      <c r="E62" s="10" t="s">
        <v>149</v>
      </c>
      <c r="F62" s="1" t="s">
        <v>26</v>
      </c>
      <c r="G62" s="1">
        <v>10</v>
      </c>
      <c r="H62" s="1">
        <v>138</v>
      </c>
      <c r="I62" s="1">
        <v>1380</v>
      </c>
      <c r="J62" s="1" t="s">
        <v>13</v>
      </c>
      <c r="K62" s="1"/>
      <c r="L62" s="1"/>
      <c r="M62" s="6">
        <v>4</v>
      </c>
      <c r="N62" s="1">
        <f t="shared" si="0"/>
        <v>4</v>
      </c>
      <c r="O62">
        <f t="shared" ref="O62:O63" si="22">H62*N62</f>
        <v>552</v>
      </c>
      <c r="P62">
        <f t="shared" ref="P62:P63" si="23">G62-N62</f>
        <v>6</v>
      </c>
    </row>
    <row r="63" spans="1:16" hidden="1" x14ac:dyDescent="0.25">
      <c r="A63" s="1">
        <v>14030262659</v>
      </c>
      <c r="B63" s="1">
        <v>58</v>
      </c>
      <c r="C63" s="1" t="s">
        <v>9</v>
      </c>
      <c r="D63" s="1" t="s">
        <v>150</v>
      </c>
      <c r="E63" s="10" t="s">
        <v>151</v>
      </c>
      <c r="F63" s="1" t="s">
        <v>26</v>
      </c>
      <c r="G63" s="1">
        <v>10</v>
      </c>
      <c r="H63" s="1">
        <v>111</v>
      </c>
      <c r="I63" s="1">
        <v>1110</v>
      </c>
      <c r="J63" s="1" t="s">
        <v>13</v>
      </c>
      <c r="K63" s="1"/>
      <c r="L63" s="1"/>
      <c r="M63" s="6">
        <v>4.5</v>
      </c>
      <c r="N63" s="1">
        <f t="shared" si="0"/>
        <v>4.5</v>
      </c>
      <c r="O63">
        <f t="shared" si="22"/>
        <v>499.5</v>
      </c>
      <c r="P63">
        <f t="shared" si="23"/>
        <v>5.5</v>
      </c>
    </row>
    <row r="64" spans="1:16" hidden="1" x14ac:dyDescent="0.25">
      <c r="A64" s="1">
        <v>14030262659</v>
      </c>
      <c r="B64" s="1">
        <v>55</v>
      </c>
      <c r="C64" s="1" t="s">
        <v>9</v>
      </c>
      <c r="D64" s="1" t="s">
        <v>152</v>
      </c>
      <c r="E64" s="1" t="s">
        <v>153</v>
      </c>
      <c r="F64" s="1" t="s">
        <v>26</v>
      </c>
      <c r="G64" s="1">
        <v>1</v>
      </c>
      <c r="H64" s="1">
        <v>399</v>
      </c>
      <c r="I64" s="1">
        <v>399</v>
      </c>
      <c r="J64" s="1" t="s">
        <v>13</v>
      </c>
      <c r="K64" s="1"/>
      <c r="L64" s="1"/>
      <c r="M64" s="8"/>
      <c r="N64" s="1">
        <f t="shared" si="0"/>
        <v>0</v>
      </c>
    </row>
    <row r="65" spans="1:16" x14ac:dyDescent="0.25">
      <c r="A65" s="1">
        <v>14030262909</v>
      </c>
      <c r="B65" s="1">
        <v>2</v>
      </c>
      <c r="C65" s="1" t="s">
        <v>9</v>
      </c>
      <c r="D65" s="1" t="s">
        <v>154</v>
      </c>
      <c r="E65" s="1" t="s">
        <v>155</v>
      </c>
      <c r="F65" s="1" t="s">
        <v>82</v>
      </c>
      <c r="G65" s="1">
        <v>386</v>
      </c>
      <c r="H65" s="1">
        <v>85</v>
      </c>
      <c r="I65" s="1">
        <v>32810</v>
      </c>
      <c r="J65" s="1" t="s">
        <v>13</v>
      </c>
      <c r="K65" s="1"/>
      <c r="L65" s="1"/>
      <c r="M65" s="8"/>
      <c r="N65" s="1">
        <v>386</v>
      </c>
    </row>
    <row r="66" spans="1:16" x14ac:dyDescent="0.25">
      <c r="A66" s="1">
        <v>14030262909</v>
      </c>
      <c r="B66" s="1">
        <v>4</v>
      </c>
      <c r="C66" s="1" t="s">
        <v>9</v>
      </c>
      <c r="D66" s="1" t="s">
        <v>156</v>
      </c>
      <c r="E66" s="1" t="s">
        <v>157</v>
      </c>
      <c r="F66" s="1" t="s">
        <v>14</v>
      </c>
      <c r="G66" s="1">
        <v>6</v>
      </c>
      <c r="H66" s="1">
        <v>265</v>
      </c>
      <c r="I66" s="1">
        <v>1590</v>
      </c>
      <c r="J66" s="1" t="s">
        <v>13</v>
      </c>
      <c r="K66" s="1"/>
      <c r="L66" s="1"/>
      <c r="M66" s="6">
        <v>6</v>
      </c>
      <c r="N66" s="1">
        <f t="shared" si="0"/>
        <v>6</v>
      </c>
      <c r="O66">
        <f t="shared" ref="O66:O68" si="24">H66*N66</f>
        <v>1590</v>
      </c>
      <c r="P66">
        <f t="shared" ref="P66:P68" si="25">G66-N66</f>
        <v>0</v>
      </c>
    </row>
    <row r="67" spans="1:16" x14ac:dyDescent="0.25">
      <c r="A67" s="1">
        <v>14030262909</v>
      </c>
      <c r="B67" s="1">
        <v>3</v>
      </c>
      <c r="C67" s="1" t="s">
        <v>9</v>
      </c>
      <c r="D67" s="1" t="s">
        <v>158</v>
      </c>
      <c r="E67" s="1" t="s">
        <v>159</v>
      </c>
      <c r="F67" s="1" t="s">
        <v>12</v>
      </c>
      <c r="G67" s="1">
        <v>9</v>
      </c>
      <c r="H67" s="1">
        <v>210</v>
      </c>
      <c r="I67" s="1">
        <v>1890</v>
      </c>
      <c r="J67" s="1" t="s">
        <v>13</v>
      </c>
      <c r="K67" s="6">
        <v>9</v>
      </c>
      <c r="L67" s="1"/>
      <c r="M67" s="8"/>
      <c r="N67" s="1">
        <f t="shared" ref="N67:N77" si="26">SUM(K67:M67)</f>
        <v>9</v>
      </c>
      <c r="O67">
        <f t="shared" si="24"/>
        <v>1890</v>
      </c>
      <c r="P67">
        <f t="shared" si="25"/>
        <v>0</v>
      </c>
    </row>
    <row r="68" spans="1:16" x14ac:dyDescent="0.25">
      <c r="A68" s="1">
        <v>14030262909</v>
      </c>
      <c r="B68" s="1">
        <v>1</v>
      </c>
      <c r="C68" s="1" t="s">
        <v>9</v>
      </c>
      <c r="D68" s="1" t="s">
        <v>160</v>
      </c>
      <c r="E68" s="1" t="s">
        <v>161</v>
      </c>
      <c r="F68" s="1" t="s">
        <v>12</v>
      </c>
      <c r="G68" s="1">
        <v>10</v>
      </c>
      <c r="H68" s="1">
        <v>7275</v>
      </c>
      <c r="I68" s="1">
        <v>72750</v>
      </c>
      <c r="J68" s="1" t="s">
        <v>13</v>
      </c>
      <c r="K68" s="6">
        <v>9</v>
      </c>
      <c r="L68" s="1"/>
      <c r="M68" s="8"/>
      <c r="N68" s="1">
        <f t="shared" si="26"/>
        <v>9</v>
      </c>
      <c r="O68">
        <f t="shared" si="24"/>
        <v>65475</v>
      </c>
      <c r="P68">
        <f t="shared" si="25"/>
        <v>1</v>
      </c>
    </row>
    <row r="69" spans="1:16" hidden="1" x14ac:dyDescent="0.25">
      <c r="A69" s="1">
        <v>14030263153</v>
      </c>
      <c r="B69" s="1">
        <v>1</v>
      </c>
      <c r="C69" s="1" t="s">
        <v>9</v>
      </c>
      <c r="D69" s="1" t="s">
        <v>162</v>
      </c>
      <c r="E69" s="1" t="s">
        <v>163</v>
      </c>
      <c r="F69" s="1" t="s">
        <v>164</v>
      </c>
      <c r="G69" s="1">
        <v>27</v>
      </c>
      <c r="H69" s="1">
        <v>53</v>
      </c>
      <c r="I69" s="1">
        <v>1431</v>
      </c>
      <c r="J69" s="1" t="s">
        <v>13</v>
      </c>
      <c r="K69" s="1"/>
      <c r="L69" s="1"/>
      <c r="M69" s="8"/>
      <c r="N69" s="1">
        <f t="shared" si="26"/>
        <v>0</v>
      </c>
    </row>
    <row r="70" spans="1:16" hidden="1" x14ac:dyDescent="0.25">
      <c r="A70" s="7">
        <v>14030263088</v>
      </c>
      <c r="B70" s="1">
        <v>5</v>
      </c>
      <c r="C70" s="1" t="s">
        <v>9</v>
      </c>
      <c r="D70" s="1" t="s">
        <v>165</v>
      </c>
      <c r="E70" s="1" t="s">
        <v>170</v>
      </c>
      <c r="F70" s="1" t="s">
        <v>26</v>
      </c>
      <c r="G70" s="1">
        <v>45</v>
      </c>
      <c r="H70" s="1">
        <v>330</v>
      </c>
      <c r="I70" s="1">
        <v>14850</v>
      </c>
      <c r="J70" s="1" t="s">
        <v>13</v>
      </c>
      <c r="K70" s="1"/>
      <c r="L70" s="1"/>
      <c r="M70" s="8"/>
      <c r="N70" s="1">
        <f t="shared" si="26"/>
        <v>0</v>
      </c>
    </row>
    <row r="71" spans="1:16" hidden="1" x14ac:dyDescent="0.25">
      <c r="A71" s="7">
        <v>14030263088</v>
      </c>
      <c r="B71" s="1">
        <v>3</v>
      </c>
      <c r="C71" s="1" t="s">
        <v>9</v>
      </c>
      <c r="D71" s="1" t="s">
        <v>166</v>
      </c>
      <c r="E71" s="1" t="s">
        <v>171</v>
      </c>
      <c r="F71" s="1" t="s">
        <v>14</v>
      </c>
      <c r="G71" s="1">
        <v>1</v>
      </c>
      <c r="H71" s="1">
        <v>4770</v>
      </c>
      <c r="I71" s="1">
        <v>4770</v>
      </c>
      <c r="J71" s="1" t="s">
        <v>175</v>
      </c>
      <c r="K71" s="1"/>
      <c r="L71" s="1"/>
      <c r="M71" s="8"/>
      <c r="N71" s="1">
        <f t="shared" si="26"/>
        <v>0</v>
      </c>
    </row>
    <row r="72" spans="1:16" hidden="1" x14ac:dyDescent="0.25">
      <c r="A72" s="7">
        <v>14030263088</v>
      </c>
      <c r="B72" s="1">
        <v>2</v>
      </c>
      <c r="C72" s="1" t="s">
        <v>9</v>
      </c>
      <c r="D72" s="1" t="s">
        <v>167</v>
      </c>
      <c r="E72" s="1" t="s">
        <v>172</v>
      </c>
      <c r="F72" s="1" t="s">
        <v>14</v>
      </c>
      <c r="G72" s="1">
        <v>1</v>
      </c>
      <c r="H72" s="1">
        <v>1397</v>
      </c>
      <c r="I72" s="1">
        <v>1397</v>
      </c>
      <c r="J72" s="1" t="s">
        <v>86</v>
      </c>
      <c r="K72" s="1"/>
      <c r="L72" s="1"/>
      <c r="M72" s="6">
        <v>1</v>
      </c>
      <c r="N72" s="1">
        <f t="shared" si="26"/>
        <v>1</v>
      </c>
      <c r="O72">
        <f>H72*N72</f>
        <v>1397</v>
      </c>
      <c r="P72">
        <f>G72-N72</f>
        <v>0</v>
      </c>
    </row>
    <row r="73" spans="1:16" hidden="1" x14ac:dyDescent="0.25">
      <c r="A73" s="7">
        <v>14030263088</v>
      </c>
      <c r="B73" s="1">
        <v>1</v>
      </c>
      <c r="C73" s="1" t="s">
        <v>9</v>
      </c>
      <c r="D73" s="1" t="s">
        <v>168</v>
      </c>
      <c r="E73" s="1" t="s">
        <v>173</v>
      </c>
      <c r="F73" s="1" t="s">
        <v>14</v>
      </c>
      <c r="G73" s="1">
        <v>1</v>
      </c>
      <c r="H73" s="1">
        <v>530</v>
      </c>
      <c r="I73" s="1">
        <v>530</v>
      </c>
      <c r="J73" s="1" t="s">
        <v>48</v>
      </c>
      <c r="K73" s="1"/>
      <c r="L73" s="1"/>
      <c r="M73" s="8"/>
      <c r="N73" s="1">
        <f t="shared" si="26"/>
        <v>0</v>
      </c>
    </row>
    <row r="74" spans="1:16" hidden="1" x14ac:dyDescent="0.25">
      <c r="A74" s="7">
        <v>14030263088</v>
      </c>
      <c r="B74" s="1">
        <v>4</v>
      </c>
      <c r="C74" s="9" t="s">
        <v>9</v>
      </c>
      <c r="D74" s="1" t="s">
        <v>169</v>
      </c>
      <c r="E74" s="1" t="s">
        <v>174</v>
      </c>
      <c r="F74" s="1" t="s">
        <v>14</v>
      </c>
      <c r="G74" s="1">
        <v>1</v>
      </c>
      <c r="H74" s="1">
        <v>6250</v>
      </c>
      <c r="I74" s="1">
        <v>6250</v>
      </c>
      <c r="J74" s="1" t="s">
        <v>175</v>
      </c>
      <c r="K74" s="1"/>
      <c r="L74" s="1"/>
      <c r="M74" s="8"/>
      <c r="N74" s="1">
        <f t="shared" si="26"/>
        <v>0</v>
      </c>
    </row>
    <row r="75" spans="1:16" hidden="1" x14ac:dyDescent="0.25">
      <c r="D75" s="1" t="s">
        <v>176</v>
      </c>
      <c r="E75" s="7" t="s">
        <v>177</v>
      </c>
      <c r="F75" s="1" t="s">
        <v>26</v>
      </c>
      <c r="G75" s="1"/>
      <c r="H75" s="1">
        <v>240</v>
      </c>
      <c r="I75" s="1"/>
      <c r="J75" s="1"/>
      <c r="K75" s="1"/>
      <c r="L75" s="1"/>
      <c r="M75" s="6">
        <v>1.5</v>
      </c>
      <c r="N75" s="1">
        <f t="shared" si="26"/>
        <v>1.5</v>
      </c>
    </row>
    <row r="76" spans="1:16" hidden="1" x14ac:dyDescent="0.25">
      <c r="D76" s="1" t="s">
        <v>178</v>
      </c>
      <c r="E76" s="1" t="s">
        <v>179</v>
      </c>
      <c r="F76" s="1" t="s">
        <v>14</v>
      </c>
      <c r="G76" s="1"/>
      <c r="H76" s="1">
        <v>3500</v>
      </c>
      <c r="I76" s="1"/>
      <c r="J76" s="1"/>
      <c r="K76" s="1"/>
      <c r="L76" s="1"/>
      <c r="M76" s="6">
        <v>1</v>
      </c>
      <c r="N76" s="1">
        <f t="shared" si="26"/>
        <v>1</v>
      </c>
    </row>
    <row r="77" spans="1:16" hidden="1" x14ac:dyDescent="0.25">
      <c r="D77" s="1"/>
      <c r="E77" s="1"/>
      <c r="F77" s="1"/>
      <c r="G77" s="1"/>
      <c r="H77" s="1"/>
      <c r="I77" s="1"/>
      <c r="J77" s="1"/>
      <c r="K77" s="1"/>
      <c r="L77" s="1"/>
      <c r="M77" s="1"/>
      <c r="N77" s="1">
        <f t="shared" si="26"/>
        <v>0</v>
      </c>
    </row>
  </sheetData>
  <autoFilter ref="A1:P77" xr:uid="{BE1FD53A-1018-4F63-B4E9-4E078A693C63}">
    <filterColumn colId="0">
      <filters>
        <filter val="14030262909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2022-11-28T07:49:43Z</dcterms:created>
  <dcterms:modified xsi:type="dcterms:W3CDTF">2022-12-29T13:41:40Z</dcterms:modified>
</cp:coreProperties>
</file>