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Sheet1!$A$1:$K$33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1" l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<sst xmlns="http://schemas.openxmlformats.org/spreadsheetml/2006/main" count="177" uniqueCount="90">
  <si>
    <t>PO</t>
  </si>
  <si>
    <t>Line</t>
  </si>
  <si>
    <t>Type</t>
  </si>
  <si>
    <t>Item/Job</t>
  </si>
  <si>
    <t>Description</t>
  </si>
  <si>
    <t>UOM</t>
  </si>
  <si>
    <t>Price</t>
  </si>
  <si>
    <t>Amount</t>
  </si>
  <si>
    <t>Task Name</t>
  </si>
  <si>
    <t>E1</t>
  </si>
  <si>
    <t>EB approval</t>
  </si>
  <si>
    <t>Total</t>
  </si>
  <si>
    <t>Goods</t>
  </si>
  <si>
    <t>21-320400-0-00-ZZ-ZZ-064</t>
  </si>
  <si>
    <t>Installation, DCDB, 8 way, (Indoor/Outdoor) installation charges including laying of cables and all accessories (bolts used for DCDB, cable ties etc.)</t>
  </si>
  <si>
    <t>Each</t>
  </si>
  <si>
    <t>Other Services &amp;Lots</t>
  </si>
  <si>
    <t>Electrical Work</t>
  </si>
  <si>
    <t>22-435000-0-00-ZZ-ZZ-654</t>
  </si>
  <si>
    <t>Earthing,GI strip (25x3) mm with all installation accessories,(As per Indus Standards and Guidelines)</t>
  </si>
  <si>
    <t>Meter</t>
  </si>
  <si>
    <t>Civil Work</t>
  </si>
  <si>
    <t>12-1242E9-C-00-ZZ-ZZ-000</t>
  </si>
  <si>
    <t>MCCB,100A,4 Pole,25KA,Magnetic Thermal Release Including Spreader Links,compliant with IS 13947(Part 2):1993/ IEC-60947-2, Capex</t>
  </si>
  <si>
    <t>Other Matl. (Serial)</t>
  </si>
  <si>
    <t>12-111026-0-00-ZZ-ZZ-000</t>
  </si>
  <si>
    <t>MCB,40A,1 Pole,C Curve</t>
  </si>
  <si>
    <t>12-120000-0-00-ZZ-ZZ-001</t>
  </si>
  <si>
    <t>MCCB Box</t>
  </si>
  <si>
    <t>12-C00000-C-00-ZZ-ZZ-162</t>
  </si>
  <si>
    <t>Conduit/Pipe - PVC 40 mm - Capex</t>
  </si>
  <si>
    <t>12-154067-0-00-ZZ-ZZ-000</t>
  </si>
  <si>
    <t>ELCB,63A,4 Pole,30 mA</t>
  </si>
  <si>
    <t>12-900000-0-01-ZZ-ZZ-020</t>
  </si>
  <si>
    <t>5/15 Amps Switch &amp; Socket Assembly - OD Type,Version 1.0</t>
  </si>
  <si>
    <t>22-211AP0-0-03-ZZ-ZZ-000</t>
  </si>
  <si>
    <t>Supply &amp; Laying of Cable,25 Sq MM,4 Core,Aluminum Armoured, HRFR, Version 3.0 incldg Termination with Lugs, Saddles, Cable ties, Insulation tape, Glands &amp; other installation accessories as per Indus Standard Guidelines</t>
  </si>
  <si>
    <t>22-205830-0-03-ZZ-ZZ-000</t>
  </si>
  <si>
    <t>Supply &amp; Laying of Cable,2.5 Sq MM,2 Core,Copper Armoured Multi strand HRFR, Version 3.0 incldg Termination with Lugs, Saddles, Cable ties, Insulation tape, Glands &amp; other installation accessories as per Indus Standard Guidelines</t>
  </si>
  <si>
    <t>22-210560-0-03-ZZ-ZZ-000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</si>
  <si>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</si>
  <si>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22-210830-0-03-ZZ-ZZ-000</t>
  </si>
  <si>
    <t>Supply &amp; Laying of Cable,16 Sq MM,2 Core,Copper Armoured Multi strand HRFR, Version 3.0 incldg Termination with Lugs, Saddles, Cable ties, Insulation tape, Glands &amp; other installation accessories as per Indus Standard Guidelines</t>
  </si>
  <si>
    <t>22-210A30-0-03-ZZ-ZZ-000</t>
  </si>
  <si>
    <t>Supply &amp; Laying of Cable,16 Sq MM,4 Core,Copper Armoured Multi strand HRFR, Version 3.0 incldg Termination with Lugs, Saddles, Cable ties, Insulation tape, Glands &amp; other installation accessories as per Indus Standard Guidelines</t>
  </si>
  <si>
    <t>22-205930-0-03-ZZ-ZZ-000</t>
  </si>
  <si>
    <t>Supply &amp; Laying of Cable,2.5 Sq MM,3 Core,Copper Armoured Multi strand HRFR, Version 3.0 incldg Termination with Lugs, Saddles, Cable ties, Insulation tape, Glands &amp; other installation accessories as per Indus Standard Guidelines</t>
  </si>
  <si>
    <t>22-214660-0-03-ZZ-ZZ-000</t>
  </si>
  <si>
    <t>Supply &amp; Laying of Cable,70 Sq MM,1 Core Black,Copper Unarmoured Multi strand HRFR, Version 3.0 incldg Termination with Lugs, Saddles, Cable ties, Insulation tape, Glands &amp; other installation accessories as per Indus Standard Guidelines</t>
  </si>
  <si>
    <t>22-214760-0-03-ZZ-ZZ-000</t>
  </si>
  <si>
    <t>Supply &amp; Laying of Cable,70 Sq MM,1 Core Red,Copper Unarmoured Multi strand HRFR, Version 3.0 incldg Termination with Lugs, Saddles, Cable ties, Insulation tape, Glands &amp; other installation accessories as per Indus Standard Guidelines</t>
  </si>
  <si>
    <t>22-201250-0-03-ZZ-ZZ-000</t>
  </si>
  <si>
    <t>Supply &amp; Laying of Cable,0.5 MM Dia,5 Pair,Annealed Tinned Copper single strand Unarmoured(FRLS), Version 3.0 incldg Termination with Lugs, Saddles, Cable ties, Insulation tape, Glands &amp; other installation accessories</t>
  </si>
  <si>
    <t>22-212AP0-0-03-ZZ-ZZ-000</t>
  </si>
  <si>
    <t>Supply &amp; Laying of Cable,35 Sq MM,4 Core,Aluminum Armoured, HRFR, Version 3.0 incldg Termination with Lugs, Saddles, Cable ties, Insulation tape, Glands &amp; other installation accessories as per Indus Standard Guidelines</t>
  </si>
  <si>
    <t>12-900000-0-01-ZZ-ZZ-026</t>
  </si>
  <si>
    <t>Krone BOX, 10 PAIR, Indoor,Version 1.0</t>
  </si>
  <si>
    <t>Tower</t>
  </si>
  <si>
    <t>24-200000-0-00-ZZ-ZZ-147</t>
  </si>
  <si>
    <t>Installation,CABLE TRAY</t>
  </si>
  <si>
    <t>22-600000-0-00-ZZ-ZZ-848</t>
  </si>
  <si>
    <t>Installation and Commisioning of SPD Box including end termination of cables (As per Indus Standards and Guidelines)</t>
  </si>
  <si>
    <t>21-600000-0-00-ZZ-ZZ-706</t>
  </si>
  <si>
    <t>Installation, Commissioning &amp; Testing of SMPS,(As per Indus Standards and Guidelines)</t>
  </si>
  <si>
    <t>SMPS</t>
  </si>
  <si>
    <t>12-C00000-0-01-ZZ-ZZ-136</t>
  </si>
  <si>
    <t>PLB HDPE Pipe - OD 40mm, 3.5mm Thk (For OFC Duct),Version 1.0</t>
  </si>
  <si>
    <t>21-D00000-0-00-ZZ-ZZ-705</t>
  </si>
  <si>
    <t>Installation, Grouting, Earthing &amp; Commissioning &amp; OD TX Rack,(As per Indus Standards and Guidelines)</t>
  </si>
  <si>
    <t>Tx Rack</t>
  </si>
  <si>
    <t>24-500000-0-00-ZZ-ZZ-704</t>
  </si>
  <si>
    <t>Installation, Grouting, Earthing and Commissioning of OD BB Cabinet,(As per Indus Standards and Guidelines)</t>
  </si>
  <si>
    <t>Battery</t>
  </si>
  <si>
    <t>21-390000-0-00-ZZ-ZZ-712</t>
  </si>
  <si>
    <t>Installation, Grouting, Earthing Commisioning testing of Power Panel -SP including end termination of power cables using glands and lugs including coordination with Panel OEM,(As per Indus Standards and Guidelines)</t>
  </si>
  <si>
    <t>22-300000-C-00-ZZ-ZZ-A17</t>
  </si>
  <si>
    <t>Installation charges of Meter Box - Capex</t>
  </si>
  <si>
    <t>EB Cost</t>
  </si>
  <si>
    <t>12-900000-0-01-ZZ-ZZ-024</t>
  </si>
  <si>
    <t>Mounting Frame for EB Meter Box,Version 1.0</t>
  </si>
  <si>
    <t>25-100000-0-00-ZZ-ZZ-740</t>
  </si>
  <si>
    <t>Mechanical anchoring for M10 anchor bolt,(As per Indus Standards and Guidelines)</t>
  </si>
  <si>
    <t>12-422000-0-01-ZZ-ZZ-000</t>
  </si>
  <si>
    <t>Earthing, EGB GI Busbar, 300x150x6 with all installation accessories, Version 1.0</t>
  </si>
  <si>
    <t>12-C00000-0-01-ZZ-ZZ-012</t>
  </si>
  <si>
    <t>Conduit - PVC 32 mm Flexible (ISI Mark),Version 1.0</t>
  </si>
  <si>
    <t>24-600000-0-00-ZZ-ZZ-604</t>
  </si>
  <si>
    <t>Door &amp; Window Fitting Charges - Lock 7-liver (link,plaza,harison make)</t>
  </si>
  <si>
    <t>2E-500000-0-00-ZZ-ZZ-787</t>
  </si>
  <si>
    <t>Site security during site construction for upto 2 months on 24 hours guarding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</si>
</sst>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 applyAlignment="1">
      <alignment horizontal="left" vertical="top"/>
    </xf>
    <xf numFmtId="0" fontId="0" fillId="0" borderId="1" xfId="0" applyBorder="1"/>
    <xf numFmtId="0" fontId="0" fillId="3" borderId="1" xfId="0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11" fontId="0" fillId="0" borderId="1" xfId="0" applyNumberFormat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F4" sqref="F4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1" t="s">
        <v>9</v>
      </c>
      <c r="J1" s="1" t="s">
        <v>10</v>
      </c>
      <c r="K1" s="1" t="s">
        <v>11</v>
      </c>
      <c r="L1" s="2" t="s">
        <v>7</v>
      </c>
    </row>
    <row r="2" spans="1:12" x14ac:dyDescent="0.25">
      <c r="A2" s="3">
        <v>14030251367</v>
      </c>
      <c r="B2" s="4">
        <v>1</v>
      </c>
      <c r="C2" s="4" t="s">
        <v>12</v>
      </c>
      <c r="D2" s="5" t="s">
        <v>13</v>
      </c>
      <c r="E2" s="4" t="s">
        <v>14</v>
      </c>
      <c r="F2" s="4" t="s">
        <v>15</v>
      </c>
      <c r="G2" s="4">
        <v>1000</v>
      </c>
      <c r="H2" s="4" t="s">
        <v>16</v>
      </c>
      <c r="I2" s="6">
        <v>1</v>
      </c>
      <c r="J2" s="4"/>
      <c r="K2" s="7">
        <v>1</v>
      </c>
      <c r="L2" s="4">
        <f>G2*K2</f>
        <v>1000</v>
      </c>
    </row>
    <row r="3" spans="1:12" x14ac:dyDescent="0.25">
      <c r="A3" s="3">
        <v>14030251367</v>
      </c>
      <c r="B3" s="4">
        <v>5</v>
      </c>
      <c r="C3" s="4" t="s">
        <v>12</v>
      </c>
      <c r="D3" s="4" t="s">
        <v>18</v>
      </c>
      <c r="E3" s="4" t="s">
        <v>19</v>
      </c>
      <c r="F3" s="4" t="s">
        <v>20</v>
      </c>
      <c r="G3" s="4">
        <v>90</v>
      </c>
      <c r="H3" s="4" t="s">
        <v>21</v>
      </c>
      <c r="I3" s="6">
        <v>70.400000000000006</v>
      </c>
      <c r="J3" s="4"/>
      <c r="K3" s="7">
        <v>70.400000000000006</v>
      </c>
      <c r="L3" s="4">
        <f>G3*K3</f>
        <v>6336.0000000000009</v>
      </c>
    </row>
    <row r="4" spans="1:12" x14ac:dyDescent="0.25">
      <c r="A4" s="3">
        <v>14030251367</v>
      </c>
      <c r="B4" s="4">
        <v>7</v>
      </c>
      <c r="C4" s="4" t="s">
        <v>12</v>
      </c>
      <c r="D4" s="4" t="s">
        <v>22</v>
      </c>
      <c r="E4" s="4" t="s">
        <v>23</v>
      </c>
      <c r="F4" s="4" t="s">
        <v>15</v>
      </c>
      <c r="G4" s="4">
        <v>2365</v>
      </c>
      <c r="H4" s="4" t="s">
        <v>24</v>
      </c>
      <c r="I4" s="6">
        <v>1</v>
      </c>
      <c r="J4" s="4"/>
      <c r="K4" s="7">
        <v>1</v>
      </c>
      <c r="L4" s="4">
        <f>G4*K4</f>
        <v>2365</v>
      </c>
    </row>
    <row r="5" spans="1:12" x14ac:dyDescent="0.25">
      <c r="A5" s="3">
        <v>14030251367</v>
      </c>
      <c r="B5" s="4">
        <v>10</v>
      </c>
      <c r="C5" s="4" t="s">
        <v>12</v>
      </c>
      <c r="D5" s="4" t="s">
        <v>25</v>
      </c>
      <c r="E5" s="4" t="s">
        <v>26</v>
      </c>
      <c r="F5" s="4" t="s">
        <v>15</v>
      </c>
      <c r="G5" s="4">
        <v>143</v>
      </c>
      <c r="H5" s="4" t="s">
        <v>24</v>
      </c>
      <c r="I5" s="6">
        <v>1</v>
      </c>
      <c r="J5" s="4"/>
      <c r="K5" s="7">
        <v>1</v>
      </c>
      <c r="L5" s="4">
        <f>G5*K5</f>
        <v>143</v>
      </c>
    </row>
    <row r="6" spans="1:12" x14ac:dyDescent="0.25">
      <c r="A6" s="3">
        <v>14030251367</v>
      </c>
      <c r="B6" s="4">
        <v>13</v>
      </c>
      <c r="C6" s="4" t="s">
        <v>12</v>
      </c>
      <c r="D6" s="4" t="s">
        <v>27</v>
      </c>
      <c r="E6" s="4" t="s">
        <v>28</v>
      </c>
      <c r="F6" s="4" t="s">
        <v>15</v>
      </c>
      <c r="G6" s="4">
        <v>880</v>
      </c>
      <c r="H6" s="4" t="s">
        <v>24</v>
      </c>
      <c r="I6" s="6">
        <v>1</v>
      </c>
      <c r="J6" s="4"/>
      <c r="K6" s="7">
        <v>1</v>
      </c>
      <c r="L6" s="4">
        <f>G6*K6</f>
        <v>880</v>
      </c>
    </row>
    <row r="7" spans="1:12" x14ac:dyDescent="0.25">
      <c r="A7" s="3">
        <v>14030251367</v>
      </c>
      <c r="B7" s="4">
        <v>15</v>
      </c>
      <c r="C7" s="4" t="s">
        <v>12</v>
      </c>
      <c r="D7" s="4" t="s">
        <v>29</v>
      </c>
      <c r="E7" s="4" t="s">
        <v>30</v>
      </c>
      <c r="F7" s="4" t="s">
        <v>20</v>
      </c>
      <c r="G7" s="4">
        <v>58</v>
      </c>
      <c r="H7" s="4" t="s">
        <v>17</v>
      </c>
      <c r="I7" s="6">
        <v>3</v>
      </c>
      <c r="J7" s="4"/>
      <c r="K7" s="7">
        <v>3</v>
      </c>
      <c r="L7" s="4">
        <f>G7*K7</f>
        <v>174</v>
      </c>
    </row>
    <row r="8" spans="1:12" x14ac:dyDescent="0.25">
      <c r="A8" s="3">
        <v>14030251367</v>
      </c>
      <c r="B8" s="4">
        <v>16</v>
      </c>
      <c r="C8" s="4" t="s">
        <v>12</v>
      </c>
      <c r="D8" s="4" t="s">
        <v>31</v>
      </c>
      <c r="E8" s="4" t="s">
        <v>32</v>
      </c>
      <c r="F8" s="4" t="s">
        <v>15</v>
      </c>
      <c r="G8" s="4">
        <v>1397</v>
      </c>
      <c r="H8" s="4" t="s">
        <v>24</v>
      </c>
      <c r="I8" s="6">
        <v>1</v>
      </c>
      <c r="J8" s="4"/>
      <c r="K8" s="7">
        <v>1</v>
      </c>
      <c r="L8" s="4">
        <f>G8*K8</f>
        <v>1397</v>
      </c>
    </row>
    <row r="9" spans="1:12" x14ac:dyDescent="0.25">
      <c r="A9" s="3">
        <v>14030251367</v>
      </c>
      <c r="B9" s="4">
        <v>17</v>
      </c>
      <c r="C9" s="4" t="s">
        <v>12</v>
      </c>
      <c r="D9" s="4" t="s">
        <v>33</v>
      </c>
      <c r="E9" s="4" t="s">
        <v>34</v>
      </c>
      <c r="F9" s="4" t="s">
        <v>15</v>
      </c>
      <c r="G9" s="4">
        <v>460</v>
      </c>
      <c r="H9" s="4" t="s">
        <v>24</v>
      </c>
      <c r="I9" s="6">
        <v>1</v>
      </c>
      <c r="J9" s="4"/>
      <c r="K9" s="7">
        <v>1</v>
      </c>
      <c r="L9" s="4">
        <f>G9*K9</f>
        <v>460</v>
      </c>
    </row>
    <row r="10" spans="1:12" x14ac:dyDescent="0.25">
      <c r="A10" s="3">
        <v>14030251367</v>
      </c>
      <c r="B10" s="4">
        <v>19</v>
      </c>
      <c r="C10" s="4" t="s">
        <v>12</v>
      </c>
      <c r="D10" s="4" t="s">
        <v>35</v>
      </c>
      <c r="E10" s="8" t="s">
        <v>36</v>
      </c>
      <c r="F10" s="8" t="s">
        <v>20</v>
      </c>
      <c r="G10" s="4">
        <v>208.21</v>
      </c>
      <c r="H10" s="4" t="s">
        <v>21</v>
      </c>
      <c r="I10" s="6">
        <v>7.6</v>
      </c>
      <c r="J10" s="9">
        <v>85</v>
      </c>
      <c r="K10" s="7">
        <v>92.6</v>
      </c>
      <c r="L10" s="4">
        <f>G10*K10</f>
        <v>19280.245999999999</v>
      </c>
    </row>
    <row r="11" spans="1:12" x14ac:dyDescent="0.25">
      <c r="A11" s="3">
        <v>14030251367</v>
      </c>
      <c r="B11" s="4">
        <v>20</v>
      </c>
      <c r="C11" s="4" t="s">
        <v>12</v>
      </c>
      <c r="D11" s="4" t="s">
        <v>37</v>
      </c>
      <c r="E11" s="4" t="s">
        <v>38</v>
      </c>
      <c r="F11" s="4" t="s">
        <v>20</v>
      </c>
      <c r="G11" s="4">
        <v>116.79</v>
      </c>
      <c r="H11" s="4" t="s">
        <v>21</v>
      </c>
      <c r="I11" s="6">
        <v>4.5</v>
      </c>
      <c r="J11" s="4"/>
      <c r="K11" s="7">
        <v>4.5</v>
      </c>
      <c r="L11" s="4">
        <f>G11*K11</f>
        <v>525.55500000000006</v>
      </c>
    </row>
    <row r="12" spans="1:12" x14ac:dyDescent="0.25">
      <c r="A12" s="3">
        <v>14030251367</v>
      </c>
      <c r="B12" s="4">
        <v>21</v>
      </c>
      <c r="C12" s="4" t="s">
        <v>12</v>
      </c>
      <c r="D12" s="4" t="s">
        <v>39</v>
      </c>
      <c r="E12" s="4" t="s">
        <v>40</v>
      </c>
      <c r="F12" s="4" t="s">
        <v>20</v>
      </c>
      <c r="G12" s="4">
        <v>177.46</v>
      </c>
      <c r="H12" s="4" t="s">
        <v>21</v>
      </c>
      <c r="I12" s="6">
        <v>14.4</v>
      </c>
      <c r="J12" s="4"/>
      <c r="K12" s="7">
        <v>14.4</v>
      </c>
      <c r="L12" s="4">
        <f>G12*K12</f>
        <v>2555.424</v>
      </c>
    </row>
    <row r="13" spans="1:12" x14ac:dyDescent="0.25">
      <c r="A13" s="3">
        <v>14030251367</v>
      </c>
      <c r="B13" s="4">
        <v>22</v>
      </c>
      <c r="C13" s="4" t="s">
        <v>12</v>
      </c>
      <c r="D13" s="4" t="s">
        <v>41</v>
      </c>
      <c r="E13" s="4" t="s">
        <v>42</v>
      </c>
      <c r="F13" s="4" t="s">
        <v>20</v>
      </c>
      <c r="G13" s="4">
        <v>419.31</v>
      </c>
      <c r="H13" s="4" t="s">
        <v>21</v>
      </c>
      <c r="I13" s="6">
        <v>9</v>
      </c>
      <c r="J13" s="4"/>
      <c r="K13" s="7">
        <v>9</v>
      </c>
      <c r="L13" s="4">
        <f>G13*K13</f>
        <v>3773.79</v>
      </c>
    </row>
    <row r="14" spans="1:12" x14ac:dyDescent="0.25">
      <c r="A14" s="3">
        <v>14030251367</v>
      </c>
      <c r="B14" s="4">
        <v>23</v>
      </c>
      <c r="C14" s="4" t="s">
        <v>12</v>
      </c>
      <c r="D14" s="4" t="s">
        <v>43</v>
      </c>
      <c r="E14" s="4" t="s">
        <v>44</v>
      </c>
      <c r="F14" s="4" t="s">
        <v>20</v>
      </c>
      <c r="G14" s="4">
        <v>816.05</v>
      </c>
      <c r="H14" s="4" t="s">
        <v>21</v>
      </c>
      <c r="I14" s="6">
        <v>2.5</v>
      </c>
      <c r="J14" s="4"/>
      <c r="K14" s="7">
        <v>2.5</v>
      </c>
      <c r="L14" s="4">
        <f>G14*K14</f>
        <v>2040.125</v>
      </c>
    </row>
    <row r="15" spans="1:12" x14ac:dyDescent="0.25">
      <c r="A15" s="3">
        <v>14030251367</v>
      </c>
      <c r="B15" s="4">
        <v>24</v>
      </c>
      <c r="C15" s="4" t="s">
        <v>12</v>
      </c>
      <c r="D15" s="4" t="s">
        <v>45</v>
      </c>
      <c r="E15" s="4" t="s">
        <v>46</v>
      </c>
      <c r="F15" s="4" t="s">
        <v>20</v>
      </c>
      <c r="G15" s="4">
        <v>136.52000000000001</v>
      </c>
      <c r="H15" s="4" t="s">
        <v>21</v>
      </c>
      <c r="I15" s="6">
        <v>3</v>
      </c>
      <c r="J15" s="4"/>
      <c r="K15" s="7">
        <v>3</v>
      </c>
      <c r="L15" s="4">
        <f>G15*K15</f>
        <v>409.56000000000006</v>
      </c>
    </row>
    <row r="16" spans="1:12" x14ac:dyDescent="0.25">
      <c r="A16" s="3">
        <v>14030251367</v>
      </c>
      <c r="B16" s="4">
        <v>25</v>
      </c>
      <c r="C16" s="4" t="s">
        <v>12</v>
      </c>
      <c r="D16" s="4" t="s">
        <v>47</v>
      </c>
      <c r="E16" s="4" t="s">
        <v>48</v>
      </c>
      <c r="F16" s="4" t="s">
        <v>20</v>
      </c>
      <c r="G16" s="4">
        <v>789.12</v>
      </c>
      <c r="H16" s="4" t="s">
        <v>21</v>
      </c>
      <c r="I16" s="6">
        <v>4.5</v>
      </c>
      <c r="J16" s="4"/>
      <c r="K16" s="7">
        <v>4.5</v>
      </c>
      <c r="L16" s="4">
        <f>G16*K16</f>
        <v>3551.04</v>
      </c>
    </row>
    <row r="17" spans="1:12" x14ac:dyDescent="0.25">
      <c r="A17" s="3">
        <v>14030251367</v>
      </c>
      <c r="B17" s="4">
        <v>26</v>
      </c>
      <c r="C17" s="4" t="s">
        <v>12</v>
      </c>
      <c r="D17" s="4" t="s">
        <v>49</v>
      </c>
      <c r="E17" s="4" t="s">
        <v>50</v>
      </c>
      <c r="F17" s="4" t="s">
        <v>20</v>
      </c>
      <c r="G17" s="4">
        <v>789.12</v>
      </c>
      <c r="H17" s="4" t="s">
        <v>21</v>
      </c>
      <c r="I17" s="6">
        <v>4</v>
      </c>
      <c r="J17" s="4"/>
      <c r="K17" s="7">
        <v>4</v>
      </c>
      <c r="L17" s="4">
        <f>G17*K17</f>
        <v>3156.48</v>
      </c>
    </row>
    <row r="18" spans="1:12" x14ac:dyDescent="0.25">
      <c r="A18" s="3">
        <v>14030251367</v>
      </c>
      <c r="B18" s="4">
        <v>32</v>
      </c>
      <c r="C18" s="4" t="s">
        <v>12</v>
      </c>
      <c r="D18" s="4" t="s">
        <v>51</v>
      </c>
      <c r="E18" s="4" t="s">
        <v>52</v>
      </c>
      <c r="F18" s="4" t="s">
        <v>20</v>
      </c>
      <c r="G18" s="4">
        <v>29.55</v>
      </c>
      <c r="H18" s="4" t="s">
        <v>21</v>
      </c>
      <c r="I18" s="6">
        <v>16.600000000000001</v>
      </c>
      <c r="J18" s="4"/>
      <c r="K18" s="7">
        <v>16.600000000000001</v>
      </c>
      <c r="L18" s="4">
        <f>G18*K18</f>
        <v>490.53000000000003</v>
      </c>
    </row>
    <row r="19" spans="1:12" x14ac:dyDescent="0.25">
      <c r="A19" s="3">
        <v>14030251367</v>
      </c>
      <c r="B19" s="4">
        <v>37</v>
      </c>
      <c r="C19" s="4" t="s">
        <v>12</v>
      </c>
      <c r="D19" s="4" t="s">
        <v>53</v>
      </c>
      <c r="E19" s="4" t="s">
        <v>54</v>
      </c>
      <c r="F19" s="4" t="s">
        <v>20</v>
      </c>
      <c r="G19" s="4">
        <v>267.5</v>
      </c>
      <c r="H19" s="4" t="s">
        <v>21</v>
      </c>
      <c r="I19" s="6">
        <v>7</v>
      </c>
      <c r="J19" s="4"/>
      <c r="K19" s="7">
        <v>7</v>
      </c>
      <c r="L19" s="4">
        <f>G19*K19</f>
        <v>1872.5</v>
      </c>
    </row>
    <row r="20" spans="1:12" x14ac:dyDescent="0.25">
      <c r="A20" s="3">
        <v>14030251367</v>
      </c>
      <c r="B20" s="4">
        <v>39</v>
      </c>
      <c r="C20" s="4" t="s">
        <v>12</v>
      </c>
      <c r="D20" s="4" t="s">
        <v>55</v>
      </c>
      <c r="E20" s="4" t="s">
        <v>56</v>
      </c>
      <c r="F20" s="4" t="s">
        <v>15</v>
      </c>
      <c r="G20" s="4">
        <v>242</v>
      </c>
      <c r="H20" s="4" t="s">
        <v>24</v>
      </c>
      <c r="I20" s="6">
        <v>1</v>
      </c>
      <c r="J20" s="4"/>
      <c r="K20" s="7">
        <v>1</v>
      </c>
      <c r="L20" s="4">
        <f>G20*K20</f>
        <v>242</v>
      </c>
    </row>
    <row r="21" spans="1:12" x14ac:dyDescent="0.25">
      <c r="A21" s="3">
        <v>14030251367</v>
      </c>
      <c r="B21" s="4">
        <v>69</v>
      </c>
      <c r="C21" s="4" t="s">
        <v>12</v>
      </c>
      <c r="D21" s="4" t="s">
        <v>58</v>
      </c>
      <c r="E21" s="4" t="s">
        <v>59</v>
      </c>
      <c r="F21" s="4" t="s">
        <v>15</v>
      </c>
      <c r="G21" s="4">
        <v>200</v>
      </c>
      <c r="H21" s="4" t="s">
        <v>21</v>
      </c>
      <c r="I21" s="6">
        <v>14</v>
      </c>
      <c r="J21" s="4"/>
      <c r="K21" s="7">
        <v>14</v>
      </c>
      <c r="L21" s="4">
        <f>G21*K21</f>
        <v>2800</v>
      </c>
    </row>
    <row r="22" spans="1:12" x14ac:dyDescent="0.25">
      <c r="A22" s="3">
        <v>14030251367</v>
      </c>
      <c r="B22" s="4">
        <v>72</v>
      </c>
      <c r="C22" s="4" t="s">
        <v>12</v>
      </c>
      <c r="D22" s="4" t="s">
        <v>60</v>
      </c>
      <c r="E22" s="4" t="s">
        <v>61</v>
      </c>
      <c r="F22" s="4" t="s">
        <v>15</v>
      </c>
      <c r="G22" s="4">
        <v>500</v>
      </c>
      <c r="H22" s="4" t="s">
        <v>57</v>
      </c>
      <c r="I22" s="6">
        <v>1</v>
      </c>
      <c r="J22" s="4"/>
      <c r="K22" s="7">
        <v>1</v>
      </c>
      <c r="L22" s="4">
        <f>G22*K22</f>
        <v>500</v>
      </c>
    </row>
    <row r="23" spans="1:12" x14ac:dyDescent="0.25">
      <c r="A23" s="3">
        <v>14030251367</v>
      </c>
      <c r="B23" s="4">
        <v>74</v>
      </c>
      <c r="C23" s="4" t="s">
        <v>12</v>
      </c>
      <c r="D23" s="4" t="s">
        <v>62</v>
      </c>
      <c r="E23" s="4" t="s">
        <v>63</v>
      </c>
      <c r="F23" s="4" t="s">
        <v>15</v>
      </c>
      <c r="G23" s="4">
        <v>1200</v>
      </c>
      <c r="H23" s="4" t="s">
        <v>64</v>
      </c>
      <c r="I23" s="6">
        <v>1</v>
      </c>
      <c r="J23" s="4"/>
      <c r="K23" s="7">
        <v>1</v>
      </c>
      <c r="L23" s="4">
        <f>G23*K23</f>
        <v>1200</v>
      </c>
    </row>
    <row r="24" spans="1:12" x14ac:dyDescent="0.25">
      <c r="A24" s="3">
        <v>14030251367</v>
      </c>
      <c r="B24" s="4">
        <v>76</v>
      </c>
      <c r="C24" s="4" t="s">
        <v>12</v>
      </c>
      <c r="D24" s="4" t="s">
        <v>65</v>
      </c>
      <c r="E24" s="10" t="s">
        <v>66</v>
      </c>
      <c r="F24" s="4" t="s">
        <v>20</v>
      </c>
      <c r="G24" s="4">
        <v>94</v>
      </c>
      <c r="H24" s="4" t="s">
        <v>17</v>
      </c>
      <c r="I24" s="6">
        <v>3</v>
      </c>
      <c r="J24" s="9">
        <v>81</v>
      </c>
      <c r="K24" s="7">
        <v>148</v>
      </c>
      <c r="L24" s="4">
        <f>G24*K24</f>
        <v>13912</v>
      </c>
    </row>
    <row r="25" spans="1:12" x14ac:dyDescent="0.25">
      <c r="A25" s="3">
        <v>14030251367</v>
      </c>
      <c r="B25" s="4">
        <v>77</v>
      </c>
      <c r="C25" s="4" t="s">
        <v>12</v>
      </c>
      <c r="D25" s="4" t="s">
        <v>67</v>
      </c>
      <c r="E25" s="4" t="s">
        <v>68</v>
      </c>
      <c r="F25" s="4" t="s">
        <v>15</v>
      </c>
      <c r="G25" s="4">
        <v>200</v>
      </c>
      <c r="H25" s="4" t="s">
        <v>69</v>
      </c>
      <c r="I25" s="6">
        <v>1</v>
      </c>
      <c r="J25" s="4"/>
      <c r="K25" s="7">
        <v>1</v>
      </c>
      <c r="L25" s="4">
        <f>G25*K25</f>
        <v>200</v>
      </c>
    </row>
    <row r="26" spans="1:12" x14ac:dyDescent="0.25">
      <c r="A26" s="3">
        <v>14030251367</v>
      </c>
      <c r="B26" s="4">
        <v>79</v>
      </c>
      <c r="C26" s="4" t="s">
        <v>12</v>
      </c>
      <c r="D26" s="4" t="s">
        <v>70</v>
      </c>
      <c r="E26" s="4" t="s">
        <v>71</v>
      </c>
      <c r="F26" s="4" t="s">
        <v>15</v>
      </c>
      <c r="G26" s="4">
        <v>1500</v>
      </c>
      <c r="H26" s="4" t="s">
        <v>72</v>
      </c>
      <c r="I26" s="6">
        <v>1</v>
      </c>
      <c r="J26" s="4"/>
      <c r="K26" s="7">
        <v>1</v>
      </c>
      <c r="L26" s="4">
        <f>G26*K26</f>
        <v>1500</v>
      </c>
    </row>
    <row r="27" spans="1:12" x14ac:dyDescent="0.25">
      <c r="A27" s="3">
        <v>14030251367</v>
      </c>
      <c r="B27" s="4">
        <v>81</v>
      </c>
      <c r="C27" s="4" t="s">
        <v>12</v>
      </c>
      <c r="D27" s="4" t="s">
        <v>73</v>
      </c>
      <c r="E27" s="4" t="s">
        <v>74</v>
      </c>
      <c r="F27" s="4" t="s">
        <v>15</v>
      </c>
      <c r="G27" s="4">
        <v>1000</v>
      </c>
      <c r="H27" s="4" t="s">
        <v>16</v>
      </c>
      <c r="I27" s="6">
        <v>1</v>
      </c>
      <c r="J27" s="4"/>
      <c r="K27" s="7">
        <v>1</v>
      </c>
      <c r="L27" s="4">
        <f>G27*K27</f>
        <v>1000</v>
      </c>
    </row>
    <row r="28" spans="1:12" x14ac:dyDescent="0.25">
      <c r="A28" s="3">
        <v>14030252712</v>
      </c>
      <c r="B28" s="4">
        <v>4</v>
      </c>
      <c r="C28" s="4" t="s">
        <v>12</v>
      </c>
      <c r="D28" s="4" t="s">
        <v>75</v>
      </c>
      <c r="E28" s="4" t="s">
        <v>76</v>
      </c>
      <c r="F28" s="4" t="s">
        <v>15</v>
      </c>
      <c r="G28" s="4">
        <v>4770</v>
      </c>
      <c r="H28" s="4" t="s">
        <v>77</v>
      </c>
      <c r="I28" s="6">
        <v>1</v>
      </c>
      <c r="J28" s="4"/>
      <c r="K28" s="7">
        <v>1</v>
      </c>
      <c r="L28" s="4">
        <f>G28*K28</f>
        <v>4770</v>
      </c>
    </row>
    <row r="29" spans="1:12" x14ac:dyDescent="0.25">
      <c r="A29" s="3">
        <v>14030252712</v>
      </c>
      <c r="B29" s="4">
        <v>3</v>
      </c>
      <c r="C29" s="4" t="s">
        <v>12</v>
      </c>
      <c r="D29" s="4" t="s">
        <v>78</v>
      </c>
      <c r="E29" s="4" t="s">
        <v>79</v>
      </c>
      <c r="F29" s="4" t="s">
        <v>15</v>
      </c>
      <c r="G29" s="4">
        <v>530</v>
      </c>
      <c r="H29" s="4" t="s">
        <v>24</v>
      </c>
      <c r="I29" s="6">
        <v>1</v>
      </c>
      <c r="J29" s="4"/>
      <c r="K29" s="7">
        <v>1</v>
      </c>
      <c r="L29" s="4">
        <f>G29*K29</f>
        <v>530</v>
      </c>
    </row>
    <row r="30" spans="1:12" x14ac:dyDescent="0.25">
      <c r="A30" s="11">
        <v>14030260277</v>
      </c>
      <c r="B30" s="4">
        <v>11</v>
      </c>
      <c r="C30" s="4" t="s">
        <v>12</v>
      </c>
      <c r="D30" s="4" t="s">
        <v>80</v>
      </c>
      <c r="E30" s="4" t="s">
        <v>81</v>
      </c>
      <c r="F30" s="4" t="s">
        <v>15</v>
      </c>
      <c r="G30" s="4">
        <v>53</v>
      </c>
      <c r="H30" s="4" t="s">
        <v>21</v>
      </c>
      <c r="I30" s="6">
        <v>12</v>
      </c>
      <c r="J30" s="4"/>
      <c r="K30" s="7">
        <v>12</v>
      </c>
      <c r="L30" s="4">
        <f>G30*K30</f>
        <v>636</v>
      </c>
    </row>
    <row r="31" spans="1:12" x14ac:dyDescent="0.25">
      <c r="A31" s="11">
        <v>14030260277</v>
      </c>
      <c r="B31" s="4">
        <v>7</v>
      </c>
      <c r="C31" s="4" t="s">
        <v>12</v>
      </c>
      <c r="D31" s="4" t="s">
        <v>82</v>
      </c>
      <c r="E31" s="4" t="s">
        <v>83</v>
      </c>
      <c r="F31" s="4" t="s">
        <v>20</v>
      </c>
      <c r="G31" s="4">
        <v>398</v>
      </c>
      <c r="H31" s="4" t="s">
        <v>16</v>
      </c>
      <c r="I31" s="6">
        <v>2</v>
      </c>
      <c r="J31" s="4"/>
      <c r="K31" s="7">
        <v>2</v>
      </c>
      <c r="L31" s="4">
        <f>G31*K31</f>
        <v>796</v>
      </c>
    </row>
    <row r="32" spans="1:12" x14ac:dyDescent="0.25">
      <c r="A32" s="11">
        <v>14030260277</v>
      </c>
      <c r="B32" s="4">
        <v>2</v>
      </c>
      <c r="C32" s="4" t="s">
        <v>12</v>
      </c>
      <c r="D32" s="4" t="s">
        <v>84</v>
      </c>
      <c r="E32" s="4" t="s">
        <v>85</v>
      </c>
      <c r="F32" s="4" t="s">
        <v>20</v>
      </c>
      <c r="G32" s="4">
        <v>48</v>
      </c>
      <c r="H32" s="4" t="s">
        <v>17</v>
      </c>
      <c r="I32" s="6">
        <v>25</v>
      </c>
      <c r="J32" s="4"/>
      <c r="K32" s="12">
        <v>25</v>
      </c>
      <c r="L32" s="4">
        <f>G32*K32</f>
        <v>1200</v>
      </c>
    </row>
    <row r="33" spans="1:12" x14ac:dyDescent="0.25">
      <c r="A33" s="11">
        <v>14030260277</v>
      </c>
      <c r="B33" s="4">
        <v>1</v>
      </c>
      <c r="C33" s="4" t="s">
        <v>12</v>
      </c>
      <c r="D33" s="4" t="s">
        <v>86</v>
      </c>
      <c r="E33" s="4" t="s">
        <v>87</v>
      </c>
      <c r="F33" s="4" t="s">
        <v>15</v>
      </c>
      <c r="G33" s="4">
        <v>265</v>
      </c>
      <c r="H33" s="4" t="s">
        <v>21</v>
      </c>
      <c r="I33" s="6">
        <v>6</v>
      </c>
      <c r="J33" s="4"/>
      <c r="K33" s="12">
        <v>6</v>
      </c>
      <c r="L33" s="4">
        <f>G33*K33</f>
        <v>1590</v>
      </c>
    </row>
    <row r="34" spans="1:12" x14ac:dyDescent="0.25">
      <c r="A34" s="3">
        <v>14030251367</v>
      </c>
      <c r="B34" s="4">
        <v>48</v>
      </c>
      <c r="C34" s="4" t="s">
        <v>12</v>
      </c>
      <c r="D34" s="13" t="s">
        <v>88</v>
      </c>
      <c r="E34" s="4" t="s">
        <v>89</v>
      </c>
      <c r="F34" s="4" t="s">
        <v>15</v>
      </c>
      <c r="G34" s="4">
        <v>21000</v>
      </c>
      <c r="H34" s="4" t="s">
        <v>21</v>
      </c>
      <c r="I34" s="4">
        <v>0.5</v>
      </c>
      <c r="J34" s="4"/>
      <c r="K34" s="14">
        <v>0.5</v>
      </c>
      <c r="L34" s="4">
        <f>G34*K34</f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2023-01-07T10:44:48Z</dcterms:created>
  <dcterms:modified xsi:type="dcterms:W3CDTF">2023-01-07T10:52:24Z</dcterms:modified>
</cp:coreProperties>
</file>